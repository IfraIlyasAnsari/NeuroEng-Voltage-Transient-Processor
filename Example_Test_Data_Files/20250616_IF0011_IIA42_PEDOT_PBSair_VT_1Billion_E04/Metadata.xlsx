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regon.sharepoint.com/sites/O365_Dekulab/Shared Documents/Electrochemistry/[99] IFRA_PEDOT Composites/{05} Data Analysis Files/NeuroEng-Voltage-Transient-Processor/Example_Test_Data_Files/20250616_IF0011_IIA42_PEDOT_PBSair_VT_1Billion_E04/"/>
    </mc:Choice>
  </mc:AlternateContent>
  <xr:revisionPtr revIDLastSave="430" documentId="8_{7227F136-EEC5-5D4C-9E1C-248D846F1A7D}" xr6:coauthVersionLast="47" xr6:coauthVersionMax="47" xr10:uidLastSave="{29A11C6F-BCF7-3146-A18C-062B4A06675B}"/>
  <bookViews>
    <workbookView xWindow="0" yWindow="500" windowWidth="28800" windowHeight="16300" tabRatio="613" xr2:uid="{508B2AF1-D157-4547-88CA-E287048D30CC}"/>
  </bookViews>
  <sheets>
    <sheet name="Metadata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20" l="1"/>
  <c r="AB7" i="20" s="1"/>
  <c r="X7" i="20"/>
  <c r="S7" i="20"/>
  <c r="U7" i="20" s="1"/>
  <c r="Y6" i="20"/>
  <c r="AB6" i="20" s="1"/>
  <c r="X6" i="20"/>
  <c r="S6" i="20"/>
  <c r="V6" i="20" s="1"/>
  <c r="W6" i="20" s="1"/>
  <c r="Y5" i="20"/>
  <c r="AB5" i="20" s="1"/>
  <c r="AA5" i="20" s="1"/>
  <c r="AC5" i="20" s="1"/>
  <c r="X5" i="20"/>
  <c r="S5" i="20"/>
  <c r="V5" i="20" s="1"/>
  <c r="W5" i="20" s="1"/>
  <c r="Y4" i="20"/>
  <c r="AB4" i="20" s="1"/>
  <c r="X4" i="20"/>
  <c r="S4" i="20"/>
  <c r="V4" i="20" s="1"/>
  <c r="W4" i="20" s="1"/>
  <c r="Y3" i="20"/>
  <c r="AB3" i="20" s="1"/>
  <c r="X3" i="20"/>
  <c r="S3" i="20"/>
  <c r="V3" i="20" s="1"/>
  <c r="W3" i="20" s="1"/>
  <c r="Y2" i="20"/>
  <c r="AB2" i="20" s="1"/>
  <c r="X2" i="20"/>
  <c r="S2" i="20"/>
  <c r="T2" i="20" s="1"/>
  <c r="AA3" i="20" l="1"/>
  <c r="AC3" i="20" s="1"/>
  <c r="Z3" i="20"/>
  <c r="AA7" i="20"/>
  <c r="AC7" i="20" s="1"/>
  <c r="Z7" i="20"/>
  <c r="T5" i="20"/>
  <c r="U5" i="20"/>
  <c r="U2" i="20"/>
  <c r="V2" i="20"/>
  <c r="W2" i="20" s="1"/>
  <c r="Z6" i="20"/>
  <c r="AA6" i="20"/>
  <c r="AC6" i="20" s="1"/>
  <c r="AA2" i="20"/>
  <c r="AC2" i="20" s="1"/>
  <c r="Z2" i="20"/>
  <c r="AA4" i="20"/>
  <c r="AC4" i="20" s="1"/>
  <c r="Z4" i="20"/>
  <c r="V7" i="20"/>
  <c r="W7" i="20" s="1"/>
  <c r="T3" i="20"/>
  <c r="U3" i="20"/>
  <c r="T6" i="20"/>
  <c r="U6" i="20"/>
  <c r="T4" i="20"/>
  <c r="U4" i="20"/>
  <c r="Z5" i="20"/>
  <c r="T7" i="20"/>
</calcChain>
</file>

<file path=xl/sharedStrings.xml><?xml version="1.0" encoding="utf-8"?>
<sst xmlns="http://schemas.openxmlformats.org/spreadsheetml/2006/main" count="90" uniqueCount="45">
  <si>
    <t>TEK00001</t>
  </si>
  <si>
    <t>TEK00002</t>
  </si>
  <si>
    <t>TEK00003</t>
  </si>
  <si>
    <t>TEK00004</t>
  </si>
  <si>
    <t>TEK00005</t>
  </si>
  <si>
    <t>TEK00006</t>
  </si>
  <si>
    <t>PEDOT</t>
  </si>
  <si>
    <t>IIA42</t>
  </si>
  <si>
    <t>IF0011</t>
  </si>
  <si>
    <t>E04</t>
  </si>
  <si>
    <t>`</t>
  </si>
  <si>
    <t>Date</t>
  </si>
  <si>
    <t>Current(µA)</t>
  </si>
  <si>
    <t>PBSair</t>
  </si>
  <si>
    <t>VT</t>
  </si>
  <si>
    <t>1Billion</t>
  </si>
  <si>
    <t>FileID</t>
  </si>
  <si>
    <t>WaferID</t>
  </si>
  <si>
    <t>DeviceID</t>
  </si>
  <si>
    <t>ElectrodeMaterial</t>
  </si>
  <si>
    <t>Electrolyte</t>
  </si>
  <si>
    <t>TestInfo1</t>
  </si>
  <si>
    <t>TestInfo2</t>
  </si>
  <si>
    <t>ElectrodeID</t>
  </si>
  <si>
    <t>PhaseWidth(µs)</t>
  </si>
  <si>
    <t>InterphaseDelay(µs)</t>
  </si>
  <si>
    <t>Frequency(Hz)</t>
  </si>
  <si>
    <t>OtherInfo</t>
  </si>
  <si>
    <t>TimeRecorded</t>
  </si>
  <si>
    <t>TotalDays</t>
  </si>
  <si>
    <t>TotalHours</t>
  </si>
  <si>
    <t>TotalMin</t>
  </si>
  <si>
    <t>TotalSec</t>
  </si>
  <si>
    <t>TotalPulses</t>
  </si>
  <si>
    <t>WaveformID</t>
  </si>
  <si>
    <t>ElectrodeGeometry</t>
  </si>
  <si>
    <t>ElectrodeDiameter(cm)</t>
  </si>
  <si>
    <t>ElectrodeGSA(cm^2)</t>
  </si>
  <si>
    <t>Circle</t>
  </si>
  <si>
    <t>ChargePerPhase(pC)</t>
  </si>
  <si>
    <t>ChargePerPhase(nC)</t>
  </si>
  <si>
    <t>ChargePerPhase(mC)</t>
  </si>
  <si>
    <t>ChargePerPhase(C)</t>
  </si>
  <si>
    <t>ChargeDensityPerPhase(mC/cm^2)</t>
  </si>
  <si>
    <t>BiphasicSymmetricCathodalFirst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</si>
</sst>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;[Red]#,##0"/>
    <numFmt numFmtId="166" formatCode="#,##0.00;[Red]#,##0.00"/>
    <numFmt numFmtId="167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sz val="16"/>
      <color theme="1"/>
      <name val="Arial"/>
      <family val="2"/>
    </font>
    <font>
      <b/>
      <sz val="15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1" tint="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ck">
        <color indexed="64"/>
      </right>
      <top/>
      <bottom/>
      <diagonal/>
    </border>
  </borders>
  <cellStyleXfs count="5">
    <xf numFmtId="0" fontId="0" fillId="0" borderId="0"/>
    <xf numFmtId="0" fontId="5" fillId="0" borderId="6" applyNumberFormat="0" applyFill="0" applyAlignment="0" applyProtection="0"/>
    <xf numFmtId="0" fontId="6" fillId="3" borderId="7" applyNumberFormat="0" applyAlignment="0" applyProtection="0"/>
    <xf numFmtId="0" fontId="7" fillId="4" borderId="8" applyNumberFormat="0" applyAlignment="0" applyProtection="0"/>
    <xf numFmtId="0" fontId="8" fillId="4" borderId="7" applyNumberFormat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" fontId="5" fillId="0" borderId="1" xfId="1" applyNumberFormat="1" applyBorder="1" applyAlignment="1">
      <alignment horizontal="center" vertical="center"/>
    </xf>
    <xf numFmtId="164" fontId="5" fillId="0" borderId="1" xfId="1" applyNumberFormat="1" applyBorder="1" applyAlignment="1">
      <alignment horizontal="center" vertical="center"/>
    </xf>
    <xf numFmtId="0" fontId="5" fillId="0" borderId="9" xfId="1" applyBorder="1" applyAlignment="1">
      <alignment horizontal="center" vertical="center"/>
    </xf>
    <xf numFmtId="0" fontId="5" fillId="0" borderId="10" xfId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164" fontId="5" fillId="0" borderId="10" xfId="1" applyNumberFormat="1" applyBorder="1" applyAlignment="1">
      <alignment horizontal="center" vertical="center"/>
    </xf>
    <xf numFmtId="11" fontId="5" fillId="0" borderId="1" xfId="1" applyNumberFormat="1" applyBorder="1" applyAlignment="1">
      <alignment horizontal="center" vertical="center"/>
    </xf>
    <xf numFmtId="49" fontId="1" fillId="3" borderId="3" xfId="2" applyNumberFormat="1" applyFont="1" applyBorder="1" applyAlignment="1">
      <alignment horizontal="center" vertical="center" wrapText="1"/>
    </xf>
    <xf numFmtId="49" fontId="1" fillId="3" borderId="3" xfId="2" applyNumberFormat="1" applyFont="1" applyBorder="1" applyAlignment="1">
      <alignment horizontal="center" vertical="center"/>
    </xf>
    <xf numFmtId="167" fontId="1" fillId="3" borderId="3" xfId="2" applyNumberFormat="1" applyFont="1" applyBorder="1" applyAlignment="1">
      <alignment horizontal="center" vertical="center"/>
    </xf>
    <xf numFmtId="1" fontId="1" fillId="3" borderId="3" xfId="2" applyNumberFormat="1" applyFont="1" applyBorder="1" applyAlignment="1">
      <alignment horizontal="center" vertical="center" wrapText="1"/>
    </xf>
    <xf numFmtId="1" fontId="1" fillId="3" borderId="3" xfId="2" applyNumberFormat="1" applyFont="1" applyBorder="1" applyAlignment="1">
      <alignment horizontal="center" vertical="top" wrapText="1"/>
    </xf>
    <xf numFmtId="22" fontId="1" fillId="3" borderId="5" xfId="2" applyNumberFormat="1" applyFont="1" applyBorder="1" applyAlignment="1">
      <alignment horizontal="center" vertical="center" wrapText="1"/>
    </xf>
    <xf numFmtId="166" fontId="8" fillId="4" borderId="4" xfId="4" applyNumberFormat="1" applyBorder="1" applyAlignment="1">
      <alignment horizontal="center" vertical="center" wrapText="1"/>
    </xf>
    <xf numFmtId="166" fontId="8" fillId="4" borderId="3" xfId="4" applyNumberFormat="1" applyBorder="1" applyAlignment="1">
      <alignment horizontal="center" vertical="center" wrapText="1"/>
    </xf>
    <xf numFmtId="165" fontId="8" fillId="4" borderId="3" xfId="4" applyNumberFormat="1" applyBorder="1" applyAlignment="1">
      <alignment horizontal="center" vertical="center" wrapText="1"/>
    </xf>
    <xf numFmtId="165" fontId="8" fillId="4" borderId="5" xfId="4" applyNumberFormat="1" applyBorder="1" applyAlignment="1">
      <alignment horizontal="center" vertical="center" wrapText="1"/>
    </xf>
    <xf numFmtId="0" fontId="9" fillId="4" borderId="11" xfId="3" applyFont="1" applyBorder="1" applyAlignment="1">
      <alignment horizontal="center" vertical="center"/>
    </xf>
    <xf numFmtId="11" fontId="9" fillId="4" borderId="8" xfId="3" applyNumberFormat="1" applyFont="1" applyAlignment="1">
      <alignment horizontal="center" vertical="center"/>
    </xf>
    <xf numFmtId="0" fontId="9" fillId="4" borderId="8" xfId="3" applyNumberFormat="1" applyFont="1" applyAlignment="1">
      <alignment horizontal="center" vertical="center"/>
    </xf>
    <xf numFmtId="2" fontId="9" fillId="4" borderId="8" xfId="3" applyNumberFormat="1" applyFont="1" applyAlignment="1">
      <alignment horizontal="center" vertical="center"/>
    </xf>
    <xf numFmtId="49" fontId="1" fillId="3" borderId="1" xfId="2" applyNumberFormat="1" applyFont="1" applyBorder="1" applyAlignment="1">
      <alignment horizontal="center" vertical="center" wrapText="1"/>
    </xf>
    <xf numFmtId="49" fontId="1" fillId="3" borderId="1" xfId="2" applyNumberFormat="1" applyFont="1" applyBorder="1" applyAlignment="1">
      <alignment horizontal="center" vertical="center"/>
    </xf>
    <xf numFmtId="167" fontId="1" fillId="3" borderId="1" xfId="2" applyNumberFormat="1" applyFont="1" applyBorder="1" applyAlignment="1">
      <alignment horizontal="center" vertical="center"/>
    </xf>
    <xf numFmtId="1" fontId="1" fillId="3" borderId="1" xfId="2" applyNumberFormat="1" applyFont="1" applyBorder="1" applyAlignment="1">
      <alignment horizontal="center" vertical="center" wrapText="1"/>
    </xf>
    <xf numFmtId="1" fontId="1" fillId="3" borderId="1" xfId="2" applyNumberFormat="1" applyFont="1" applyBorder="1" applyAlignment="1">
      <alignment horizontal="center" vertical="top" wrapText="1"/>
    </xf>
    <xf numFmtId="22" fontId="1" fillId="3" borderId="9" xfId="2" applyNumberFormat="1" applyFont="1" applyBorder="1" applyAlignment="1">
      <alignment horizontal="center" vertical="center" wrapText="1"/>
    </xf>
    <xf numFmtId="166" fontId="8" fillId="4" borderId="10" xfId="4" applyNumberFormat="1" applyBorder="1" applyAlignment="1">
      <alignment horizontal="center" vertical="center" wrapText="1"/>
    </xf>
    <xf numFmtId="166" fontId="8" fillId="4" borderId="1" xfId="4" applyNumberFormat="1" applyBorder="1" applyAlignment="1">
      <alignment horizontal="center" vertical="center" wrapText="1"/>
    </xf>
    <xf numFmtId="165" fontId="8" fillId="4" borderId="1" xfId="4" applyNumberFormat="1" applyBorder="1" applyAlignment="1">
      <alignment horizontal="center" vertical="center" wrapText="1"/>
    </xf>
    <xf numFmtId="165" fontId="8" fillId="4" borderId="9" xfId="4" applyNumberForma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</cellXfs>
  <cellStyles count="5">
    <cellStyle name="Calculation" xfId="4" builtinId="22"/>
    <cellStyle name="Heading 1" xfId="1" builtinId="16"/>
    <cellStyle name="Input" xfId="2" builtinId="20"/>
    <cellStyle name="Normal" xfId="0" builtinId="0"/>
    <cellStyle name="Output" xfId="3" builtinId="21"/>
  </cellStyles>
  <dxfs count="0"/>
  <tableStyles count="0" defaultTableStyle="TableStyleMedium2" defaultPivotStyle="PivotStyleLight16"/>
  <colors>
    <mruColors>
      <color rgb="FFFF5050"/>
      <color rgb="FF0000FF"/>
      <color rgb="FFCCCC00"/>
      <color rgb="FFFFFF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DD9E-6786-4C8C-B87B-95F81CD0D323}">
  <dimension ref="A1:AC56"/>
  <sheetViews>
    <sheetView tabSelected="1" zoomScale="137" zoomScaleNormal="125" workbookViewId="0">
      <selection activeCell="E11" sqref="E11"/>
    </sheetView>
  </sheetViews>
  <sheetFormatPr baseColWidth="10" defaultColWidth="21.83203125" defaultRowHeight="16" x14ac:dyDescent="0.2"/>
  <cols>
    <col min="1" max="1" width="11.33203125" style="1" bestFit="1" customWidth="1"/>
    <col min="2" max="2" width="20.1640625" style="1" bestFit="1" customWidth="1"/>
    <col min="3" max="3" width="11.5" style="1" bestFit="1" customWidth="1"/>
    <col min="4" max="4" width="12.83203125" style="1" bestFit="1" customWidth="1"/>
    <col min="5" max="5" width="16.33203125" style="1" bestFit="1" customWidth="1"/>
    <col min="6" max="6" width="26.5" bestFit="1" customWidth="1"/>
    <col min="7" max="7" width="31.33203125" bestFit="1" customWidth="1"/>
    <col min="8" max="8" width="24.1640625" style="1" bestFit="1" customWidth="1"/>
    <col min="9" max="9" width="15.1640625" style="1" bestFit="1" customWidth="1"/>
    <col min="10" max="11" width="13.33203125" style="1" bestFit="1" customWidth="1"/>
    <col min="12" max="12" width="31.1640625" bestFit="1" customWidth="1"/>
    <col min="13" max="13" width="16.33203125" style="1" bestFit="1" customWidth="1"/>
    <col min="14" max="14" width="21.83203125" style="1"/>
    <col min="15" max="15" width="27.33203125" style="1" bestFit="1" customWidth="1"/>
    <col min="16" max="16" width="20.33203125" style="1" bestFit="1" customWidth="1"/>
    <col min="17" max="17" width="13.33203125" style="1" bestFit="1" customWidth="1"/>
    <col min="18" max="18" width="20.33203125" style="38" bestFit="1" customWidth="1"/>
    <col min="19" max="19" width="18.1640625" style="39" bestFit="1" customWidth="1"/>
    <col min="20" max="22" width="18.1640625" style="1" bestFit="1" customWidth="1"/>
    <col min="23" max="23" width="18.1640625" style="38" bestFit="1" customWidth="1"/>
    <col min="24" max="24" width="28.5" style="40" bestFit="1" customWidth="1"/>
    <col min="25" max="26" width="29" style="1" bestFit="1" customWidth="1"/>
    <col min="27" max="27" width="29.6640625" style="2" bestFit="1" customWidth="1"/>
    <col min="28" max="28" width="27.33203125" style="1" bestFit="1" customWidth="1"/>
    <col min="29" max="29" width="47.5" style="1" bestFit="1" customWidth="1"/>
  </cols>
  <sheetData>
    <row r="1" spans="1:29" ht="20" x14ac:dyDescent="0.2">
      <c r="A1" s="3" t="s">
        <v>16</v>
      </c>
      <c r="B1" s="4" t="s">
        <v>11</v>
      </c>
      <c r="C1" s="4" t="s">
        <v>17</v>
      </c>
      <c r="D1" s="4" t="s">
        <v>18</v>
      </c>
      <c r="E1" s="4" t="s">
        <v>23</v>
      </c>
      <c r="F1" s="4" t="s">
        <v>35</v>
      </c>
      <c r="G1" s="4" t="s">
        <v>36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34</v>
      </c>
      <c r="M1" s="3" t="s">
        <v>12</v>
      </c>
      <c r="N1" s="4" t="s">
        <v>24</v>
      </c>
      <c r="O1" s="4" t="s">
        <v>25</v>
      </c>
      <c r="P1" s="4" t="s">
        <v>26</v>
      </c>
      <c r="Q1" s="3" t="s">
        <v>27</v>
      </c>
      <c r="R1" s="5" t="s">
        <v>28</v>
      </c>
      <c r="S1" s="6" t="s">
        <v>29</v>
      </c>
      <c r="T1" s="7" t="s">
        <v>30</v>
      </c>
      <c r="U1" s="7" t="s">
        <v>31</v>
      </c>
      <c r="V1" s="7" t="s">
        <v>32</v>
      </c>
      <c r="W1" s="5" t="s">
        <v>33</v>
      </c>
      <c r="X1" s="8" t="s">
        <v>37</v>
      </c>
      <c r="Y1" s="4" t="s">
        <v>39</v>
      </c>
      <c r="Z1" s="4" t="s">
        <v>40</v>
      </c>
      <c r="AA1" s="9" t="s">
        <v>41</v>
      </c>
      <c r="AB1" s="4" t="s">
        <v>42</v>
      </c>
      <c r="AC1" s="4" t="s">
        <v>43</v>
      </c>
    </row>
    <row r="2" spans="1:29" ht="17" x14ac:dyDescent="0.2">
      <c r="A2" s="10" t="s">
        <v>0</v>
      </c>
      <c r="B2" s="11">
        <v>20250616</v>
      </c>
      <c r="C2" s="11" t="s">
        <v>8</v>
      </c>
      <c r="D2" s="11" t="s">
        <v>7</v>
      </c>
      <c r="E2" s="10" t="s">
        <v>9</v>
      </c>
      <c r="F2" s="11" t="s">
        <v>38</v>
      </c>
      <c r="G2" s="12">
        <v>5.0000000000000001E-3</v>
      </c>
      <c r="H2" s="11" t="s">
        <v>6</v>
      </c>
      <c r="I2" s="11" t="s">
        <v>13</v>
      </c>
      <c r="J2" s="11" t="s">
        <v>14</v>
      </c>
      <c r="K2" s="11" t="s">
        <v>15</v>
      </c>
      <c r="L2" s="11" t="s">
        <v>44</v>
      </c>
      <c r="M2" s="13">
        <v>350</v>
      </c>
      <c r="N2" s="13">
        <v>200</v>
      </c>
      <c r="O2" s="13">
        <v>100</v>
      </c>
      <c r="P2" s="13">
        <v>500</v>
      </c>
      <c r="Q2" s="14"/>
      <c r="R2" s="15">
        <v>45824.861111111109</v>
      </c>
      <c r="S2" s="16">
        <f t="shared" ref="S2:S7" si="0">R2-$R$2</f>
        <v>0</v>
      </c>
      <c r="T2" s="17">
        <f t="shared" ref="T2:T7" si="1">S2*24</f>
        <v>0</v>
      </c>
      <c r="U2" s="18">
        <f t="shared" ref="U2:U7" si="2">S2*24*60</f>
        <v>0</v>
      </c>
      <c r="V2" s="18">
        <f t="shared" ref="V2:V7" si="3">S2*24*60*60</f>
        <v>0</v>
      </c>
      <c r="W2" s="19">
        <f t="shared" ref="W2:W7" si="4">500*V2</f>
        <v>0</v>
      </c>
      <c r="X2" s="20">
        <f t="shared" ref="X2:X7" si="5">3.141592654*(G2/2)^2</f>
        <v>1.9634954087500003E-5</v>
      </c>
      <c r="Y2" s="21">
        <f t="shared" ref="Y2:Y7" si="6">M2*N2</f>
        <v>70000</v>
      </c>
      <c r="Z2" s="22">
        <f t="shared" ref="Z2:Z7" si="7">AB2*10^9</f>
        <v>70</v>
      </c>
      <c r="AA2" s="21">
        <f t="shared" ref="AA2:AA7" si="8">AB2*10^3</f>
        <v>7.0000000000000007E-5</v>
      </c>
      <c r="AB2" s="21">
        <f t="shared" ref="AB2:AB7" si="9">Y2/10^12</f>
        <v>7.0000000000000005E-8</v>
      </c>
      <c r="AC2" s="23">
        <f t="shared" ref="AC2:AC7" si="10">AA2/X2</f>
        <v>3.5650707247929541</v>
      </c>
    </row>
    <row r="3" spans="1:29" ht="17" x14ac:dyDescent="0.2">
      <c r="A3" s="24" t="s">
        <v>1</v>
      </c>
      <c r="B3" s="25">
        <v>20250616</v>
      </c>
      <c r="C3" s="25" t="s">
        <v>8</v>
      </c>
      <c r="D3" s="25" t="s">
        <v>7</v>
      </c>
      <c r="E3" s="24" t="s">
        <v>9</v>
      </c>
      <c r="F3" s="25" t="s">
        <v>38</v>
      </c>
      <c r="G3" s="26">
        <v>5.0000000000000001E-3</v>
      </c>
      <c r="H3" s="25" t="s">
        <v>6</v>
      </c>
      <c r="I3" s="25" t="s">
        <v>13</v>
      </c>
      <c r="J3" s="25" t="s">
        <v>14</v>
      </c>
      <c r="K3" s="25" t="s">
        <v>15</v>
      </c>
      <c r="L3" s="25" t="s">
        <v>44</v>
      </c>
      <c r="M3" s="27">
        <v>350</v>
      </c>
      <c r="N3" s="27">
        <v>200</v>
      </c>
      <c r="O3" s="27">
        <v>100</v>
      </c>
      <c r="P3" s="27">
        <v>500</v>
      </c>
      <c r="Q3" s="28"/>
      <c r="R3" s="29">
        <v>45825.444444444445</v>
      </c>
      <c r="S3" s="30">
        <f t="shared" si="0"/>
        <v>0.58333333333575865</v>
      </c>
      <c r="T3" s="31">
        <f t="shared" si="1"/>
        <v>14.000000000058208</v>
      </c>
      <c r="U3" s="32">
        <f t="shared" si="2"/>
        <v>840.00000000349246</v>
      </c>
      <c r="V3" s="32">
        <f t="shared" si="3"/>
        <v>50400.000000209548</v>
      </c>
      <c r="W3" s="33">
        <f t="shared" si="4"/>
        <v>25200000.000104774</v>
      </c>
      <c r="X3" s="20">
        <f t="shared" si="5"/>
        <v>1.9634954087500003E-5</v>
      </c>
      <c r="Y3" s="21">
        <f t="shared" si="6"/>
        <v>70000</v>
      </c>
      <c r="Z3" s="22">
        <f t="shared" si="7"/>
        <v>70</v>
      </c>
      <c r="AA3" s="21">
        <f t="shared" si="8"/>
        <v>7.0000000000000007E-5</v>
      </c>
      <c r="AB3" s="21">
        <f t="shared" si="9"/>
        <v>7.0000000000000005E-8</v>
      </c>
      <c r="AC3" s="23">
        <f t="shared" si="10"/>
        <v>3.5650707247929541</v>
      </c>
    </row>
    <row r="4" spans="1:29" ht="17" x14ac:dyDescent="0.2">
      <c r="A4" s="25" t="s">
        <v>2</v>
      </c>
      <c r="B4" s="25">
        <v>20250616</v>
      </c>
      <c r="C4" s="25" t="s">
        <v>8</v>
      </c>
      <c r="D4" s="25" t="s">
        <v>7</v>
      </c>
      <c r="E4" s="24" t="s">
        <v>9</v>
      </c>
      <c r="F4" s="25" t="s">
        <v>38</v>
      </c>
      <c r="G4" s="26">
        <v>5.0000000000000001E-3</v>
      </c>
      <c r="H4" s="25" t="s">
        <v>6</v>
      </c>
      <c r="I4" s="25" t="s">
        <v>13</v>
      </c>
      <c r="J4" s="25" t="s">
        <v>14</v>
      </c>
      <c r="K4" s="25" t="s">
        <v>15</v>
      </c>
      <c r="L4" s="25" t="s">
        <v>44</v>
      </c>
      <c r="M4" s="27">
        <v>350</v>
      </c>
      <c r="N4" s="27">
        <v>200</v>
      </c>
      <c r="O4" s="27">
        <v>100</v>
      </c>
      <c r="P4" s="27">
        <v>500</v>
      </c>
      <c r="Q4" s="28"/>
      <c r="R4" s="29">
        <v>45826.395833333336</v>
      </c>
      <c r="S4" s="30">
        <f t="shared" si="0"/>
        <v>1.5347222222262644</v>
      </c>
      <c r="T4" s="31">
        <f t="shared" si="1"/>
        <v>36.833333333430346</v>
      </c>
      <c r="U4" s="32">
        <f t="shared" si="2"/>
        <v>2210.0000000058208</v>
      </c>
      <c r="V4" s="32">
        <f t="shared" si="3"/>
        <v>132600.00000034925</v>
      </c>
      <c r="W4" s="33">
        <f t="shared" si="4"/>
        <v>66300000.000174627</v>
      </c>
      <c r="X4" s="20">
        <f t="shared" si="5"/>
        <v>1.9634954087500003E-5</v>
      </c>
      <c r="Y4" s="21">
        <f t="shared" si="6"/>
        <v>70000</v>
      </c>
      <c r="Z4" s="22">
        <f t="shared" si="7"/>
        <v>70</v>
      </c>
      <c r="AA4" s="21">
        <f t="shared" si="8"/>
        <v>7.0000000000000007E-5</v>
      </c>
      <c r="AB4" s="21">
        <f t="shared" si="9"/>
        <v>7.0000000000000005E-8</v>
      </c>
      <c r="AC4" s="23">
        <f t="shared" si="10"/>
        <v>3.5650707247929541</v>
      </c>
    </row>
    <row r="5" spans="1:29" ht="17" x14ac:dyDescent="0.2">
      <c r="A5" s="24" t="s">
        <v>3</v>
      </c>
      <c r="B5" s="25">
        <v>20250616</v>
      </c>
      <c r="C5" s="25" t="s">
        <v>8</v>
      </c>
      <c r="D5" s="25" t="s">
        <v>7</v>
      </c>
      <c r="E5" s="24" t="s">
        <v>9</v>
      </c>
      <c r="F5" s="25" t="s">
        <v>38</v>
      </c>
      <c r="G5" s="26">
        <v>5.0000000000000001E-3</v>
      </c>
      <c r="H5" s="25" t="s">
        <v>6</v>
      </c>
      <c r="I5" s="25" t="s">
        <v>13</v>
      </c>
      <c r="J5" s="25" t="s">
        <v>14</v>
      </c>
      <c r="K5" s="25" t="s">
        <v>15</v>
      </c>
      <c r="L5" s="25" t="s">
        <v>44</v>
      </c>
      <c r="M5" s="27">
        <v>350</v>
      </c>
      <c r="N5" s="27">
        <v>200</v>
      </c>
      <c r="O5" s="27">
        <v>100</v>
      </c>
      <c r="P5" s="27">
        <v>500</v>
      </c>
      <c r="Q5" s="28"/>
      <c r="R5" s="29">
        <v>45827.486111111109</v>
      </c>
      <c r="S5" s="30">
        <f t="shared" si="0"/>
        <v>2.625</v>
      </c>
      <c r="T5" s="31">
        <f t="shared" si="1"/>
        <v>63</v>
      </c>
      <c r="U5" s="32">
        <f t="shared" si="2"/>
        <v>3780</v>
      </c>
      <c r="V5" s="32">
        <f t="shared" si="3"/>
        <v>226800</v>
      </c>
      <c r="W5" s="33">
        <f t="shared" si="4"/>
        <v>113400000</v>
      </c>
      <c r="X5" s="20">
        <f t="shared" si="5"/>
        <v>1.9634954087500003E-5</v>
      </c>
      <c r="Y5" s="21">
        <f t="shared" si="6"/>
        <v>70000</v>
      </c>
      <c r="Z5" s="22">
        <f t="shared" si="7"/>
        <v>70</v>
      </c>
      <c r="AA5" s="21">
        <f t="shared" si="8"/>
        <v>7.0000000000000007E-5</v>
      </c>
      <c r="AB5" s="21">
        <f t="shared" si="9"/>
        <v>7.0000000000000005E-8</v>
      </c>
      <c r="AC5" s="23">
        <f t="shared" si="10"/>
        <v>3.5650707247929541</v>
      </c>
    </row>
    <row r="6" spans="1:29" ht="17" x14ac:dyDescent="0.2">
      <c r="A6" s="24" t="s">
        <v>4</v>
      </c>
      <c r="B6" s="25">
        <v>20250616</v>
      </c>
      <c r="C6" s="25" t="s">
        <v>8</v>
      </c>
      <c r="D6" s="25" t="s">
        <v>7</v>
      </c>
      <c r="E6" s="24" t="s">
        <v>9</v>
      </c>
      <c r="F6" s="25" t="s">
        <v>38</v>
      </c>
      <c r="G6" s="26">
        <v>5.0000000000000001E-3</v>
      </c>
      <c r="H6" s="25" t="s">
        <v>6</v>
      </c>
      <c r="I6" s="25" t="s">
        <v>13</v>
      </c>
      <c r="J6" s="25" t="s">
        <v>14</v>
      </c>
      <c r="K6" s="25" t="s">
        <v>15</v>
      </c>
      <c r="L6" s="25" t="s">
        <v>44</v>
      </c>
      <c r="M6" s="27">
        <v>350</v>
      </c>
      <c r="N6" s="27">
        <v>200</v>
      </c>
      <c r="O6" s="27">
        <v>100</v>
      </c>
      <c r="P6" s="27">
        <v>500</v>
      </c>
      <c r="Q6" s="28"/>
      <c r="R6" s="29">
        <v>45827.486111111109</v>
      </c>
      <c r="S6" s="30">
        <f t="shared" si="0"/>
        <v>2.625</v>
      </c>
      <c r="T6" s="31">
        <f t="shared" si="1"/>
        <v>63</v>
      </c>
      <c r="U6" s="32">
        <f t="shared" si="2"/>
        <v>3780</v>
      </c>
      <c r="V6" s="32">
        <f t="shared" si="3"/>
        <v>226800</v>
      </c>
      <c r="W6" s="33">
        <f t="shared" si="4"/>
        <v>113400000</v>
      </c>
      <c r="X6" s="20">
        <f t="shared" si="5"/>
        <v>1.9634954087500003E-5</v>
      </c>
      <c r="Y6" s="21">
        <f t="shared" si="6"/>
        <v>70000</v>
      </c>
      <c r="Z6" s="22">
        <f t="shared" si="7"/>
        <v>70</v>
      </c>
      <c r="AA6" s="21">
        <f t="shared" si="8"/>
        <v>7.0000000000000007E-5</v>
      </c>
      <c r="AB6" s="21">
        <f t="shared" si="9"/>
        <v>7.0000000000000005E-8</v>
      </c>
      <c r="AC6" s="23">
        <f t="shared" si="10"/>
        <v>3.5650707247929541</v>
      </c>
    </row>
    <row r="7" spans="1:29" ht="17" x14ac:dyDescent="0.2">
      <c r="A7" s="24" t="s">
        <v>5</v>
      </c>
      <c r="B7" s="25">
        <v>20250616</v>
      </c>
      <c r="C7" s="25" t="s">
        <v>8</v>
      </c>
      <c r="D7" s="25" t="s">
        <v>7</v>
      </c>
      <c r="E7" s="24" t="s">
        <v>9</v>
      </c>
      <c r="F7" s="25" t="s">
        <v>38</v>
      </c>
      <c r="G7" s="26">
        <v>5.0000000000000001E-3</v>
      </c>
      <c r="H7" s="25" t="s">
        <v>6</v>
      </c>
      <c r="I7" s="25" t="s">
        <v>13</v>
      </c>
      <c r="J7" s="25" t="s">
        <v>14</v>
      </c>
      <c r="K7" s="25" t="s">
        <v>15</v>
      </c>
      <c r="L7" s="25" t="s">
        <v>44</v>
      </c>
      <c r="M7" s="27">
        <v>350</v>
      </c>
      <c r="N7" s="27">
        <v>200</v>
      </c>
      <c r="O7" s="27">
        <v>100</v>
      </c>
      <c r="P7" s="27">
        <v>500</v>
      </c>
      <c r="Q7" s="28"/>
      <c r="R7" s="29">
        <v>45828.569444444445</v>
      </c>
      <c r="S7" s="30">
        <f t="shared" si="0"/>
        <v>3.7083333333357587</v>
      </c>
      <c r="T7" s="31">
        <f t="shared" si="1"/>
        <v>89.000000000058208</v>
      </c>
      <c r="U7" s="32">
        <f t="shared" si="2"/>
        <v>5340.0000000034925</v>
      </c>
      <c r="V7" s="32">
        <f t="shared" si="3"/>
        <v>320400.00000020955</v>
      </c>
      <c r="W7" s="33">
        <f t="shared" si="4"/>
        <v>160200000.00010478</v>
      </c>
      <c r="X7" s="20">
        <f t="shared" si="5"/>
        <v>1.9634954087500003E-5</v>
      </c>
      <c r="Y7" s="21">
        <f t="shared" si="6"/>
        <v>70000</v>
      </c>
      <c r="Z7" s="22">
        <f t="shared" si="7"/>
        <v>70</v>
      </c>
      <c r="AA7" s="21">
        <f t="shared" si="8"/>
        <v>7.0000000000000007E-5</v>
      </c>
      <c r="AB7" s="21">
        <f t="shared" si="9"/>
        <v>7.0000000000000005E-8</v>
      </c>
      <c r="AC7" s="23">
        <f t="shared" si="10"/>
        <v>3.5650707247929541</v>
      </c>
    </row>
    <row r="8" spans="1:29" ht="20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5"/>
      <c r="S8" s="36"/>
      <c r="T8" s="34"/>
      <c r="U8" s="37"/>
      <c r="V8" s="37"/>
      <c r="W8" s="35"/>
      <c r="X8" s="36"/>
      <c r="Y8" s="34"/>
      <c r="Z8" s="34"/>
      <c r="AA8" s="34"/>
      <c r="AB8" s="34"/>
      <c r="AC8" s="34"/>
    </row>
    <row r="9" spans="1:29" x14ac:dyDescent="0.2">
      <c r="AA9" s="1"/>
    </row>
    <row r="10" spans="1:29" x14ac:dyDescent="0.2">
      <c r="AA10" s="1"/>
    </row>
    <row r="11" spans="1:29" x14ac:dyDescent="0.2">
      <c r="Y11"/>
      <c r="Z11"/>
      <c r="AA11"/>
      <c r="AB11"/>
      <c r="AC11"/>
    </row>
    <row r="12" spans="1:29" x14ac:dyDescent="0.2">
      <c r="Y12"/>
      <c r="Z12"/>
      <c r="AA12"/>
      <c r="AB12"/>
      <c r="AC12"/>
    </row>
    <row r="13" spans="1:29" x14ac:dyDescent="0.2">
      <c r="W13" s="38" t="s">
        <v>10</v>
      </c>
      <c r="Y13"/>
      <c r="Z13"/>
      <c r="AA13"/>
      <c r="AB13"/>
      <c r="AC13"/>
    </row>
    <row r="14" spans="1:29" x14ac:dyDescent="0.2">
      <c r="Y14"/>
      <c r="Z14"/>
      <c r="AA14"/>
      <c r="AB14"/>
      <c r="AC14"/>
    </row>
    <row r="15" spans="1:29" x14ac:dyDescent="0.2">
      <c r="Y15"/>
      <c r="Z15"/>
      <c r="AA15"/>
      <c r="AB15"/>
      <c r="AC15"/>
    </row>
    <row r="16" spans="1:29" x14ac:dyDescent="0.2">
      <c r="Y16"/>
      <c r="Z16"/>
      <c r="AA16"/>
      <c r="AB16"/>
      <c r="AC16"/>
    </row>
    <row r="17" spans="25:29" x14ac:dyDescent="0.2">
      <c r="Y17"/>
      <c r="Z17"/>
      <c r="AA17"/>
      <c r="AB17"/>
      <c r="AC17"/>
    </row>
    <row r="18" spans="25:29" x14ac:dyDescent="0.2">
      <c r="Y18"/>
      <c r="Z18"/>
      <c r="AA18"/>
      <c r="AB18"/>
      <c r="AC18"/>
    </row>
    <row r="19" spans="25:29" x14ac:dyDescent="0.2">
      <c r="Y19"/>
      <c r="Z19"/>
      <c r="AA19"/>
      <c r="AB19"/>
      <c r="AC19"/>
    </row>
    <row r="20" spans="25:29" x14ac:dyDescent="0.2">
      <c r="Y20"/>
      <c r="Z20"/>
      <c r="AA20"/>
      <c r="AB20"/>
      <c r="AC20"/>
    </row>
    <row r="21" spans="25:29" x14ac:dyDescent="0.2">
      <c r="Y21"/>
      <c r="Z21"/>
      <c r="AA21"/>
      <c r="AB21"/>
      <c r="AC21"/>
    </row>
    <row r="22" spans="25:29" x14ac:dyDescent="0.2">
      <c r="Y22"/>
      <c r="Z22"/>
      <c r="AA22"/>
      <c r="AB22"/>
      <c r="AC22"/>
    </row>
    <row r="23" spans="25:29" x14ac:dyDescent="0.2">
      <c r="Y23"/>
      <c r="Z23"/>
      <c r="AA23"/>
      <c r="AB23"/>
      <c r="AC23"/>
    </row>
    <row r="24" spans="25:29" x14ac:dyDescent="0.2">
      <c r="Y24"/>
      <c r="Z24"/>
      <c r="AA24"/>
      <c r="AB24"/>
      <c r="AC24"/>
    </row>
    <row r="25" spans="25:29" x14ac:dyDescent="0.2">
      <c r="Y25"/>
      <c r="Z25"/>
      <c r="AA25"/>
      <c r="AB25"/>
      <c r="AC25"/>
    </row>
    <row r="26" spans="25:29" x14ac:dyDescent="0.2">
      <c r="Y26"/>
      <c r="Z26"/>
      <c r="AA26"/>
      <c r="AB26"/>
      <c r="AC26"/>
    </row>
    <row r="27" spans="25:29" x14ac:dyDescent="0.2">
      <c r="Y27"/>
      <c r="Z27"/>
      <c r="AA27"/>
      <c r="AB27"/>
      <c r="AC27"/>
    </row>
    <row r="28" spans="25:29" x14ac:dyDescent="0.2">
      <c r="Y28"/>
      <c r="Z28"/>
      <c r="AA28"/>
      <c r="AB28"/>
      <c r="AC28"/>
    </row>
    <row r="29" spans="25:29" x14ac:dyDescent="0.2">
      <c r="Y29"/>
      <c r="Z29"/>
      <c r="AA29"/>
      <c r="AB29"/>
      <c r="AC29"/>
    </row>
    <row r="30" spans="25:29" x14ac:dyDescent="0.2">
      <c r="Y30"/>
      <c r="Z30"/>
      <c r="AA30"/>
      <c r="AB30"/>
      <c r="AC30"/>
    </row>
    <row r="31" spans="25:29" x14ac:dyDescent="0.2">
      <c r="Y31"/>
      <c r="Z31"/>
      <c r="AA31"/>
      <c r="AB31"/>
      <c r="AC31"/>
    </row>
    <row r="32" spans="25:29" x14ac:dyDescent="0.2">
      <c r="Y32"/>
      <c r="Z32"/>
      <c r="AA32"/>
      <c r="AB32"/>
      <c r="AC32"/>
    </row>
    <row r="33" spans="25:29" x14ac:dyDescent="0.2">
      <c r="Y33"/>
      <c r="Z33"/>
      <c r="AA33"/>
      <c r="AB33"/>
      <c r="AC33"/>
    </row>
    <row r="34" spans="25:29" x14ac:dyDescent="0.2">
      <c r="Y34"/>
      <c r="Z34"/>
      <c r="AA34"/>
      <c r="AB34"/>
      <c r="AC34"/>
    </row>
    <row r="35" spans="25:29" x14ac:dyDescent="0.2">
      <c r="Y35"/>
      <c r="Z35"/>
      <c r="AA35"/>
      <c r="AB35"/>
      <c r="AC35"/>
    </row>
    <row r="36" spans="25:29" x14ac:dyDescent="0.2">
      <c r="Y36"/>
      <c r="Z36"/>
      <c r="AA36"/>
      <c r="AB36"/>
      <c r="AC36"/>
    </row>
    <row r="37" spans="25:29" x14ac:dyDescent="0.2">
      <c r="Y37"/>
      <c r="Z37"/>
      <c r="AA37"/>
      <c r="AB37"/>
      <c r="AC37"/>
    </row>
    <row r="38" spans="25:29" x14ac:dyDescent="0.2">
      <c r="Y38"/>
      <c r="Z38"/>
      <c r="AA38"/>
      <c r="AB38"/>
      <c r="AC38"/>
    </row>
    <row r="39" spans="25:29" x14ac:dyDescent="0.2">
      <c r="Y39"/>
      <c r="Z39"/>
      <c r="AA39"/>
      <c r="AB39"/>
      <c r="AC39"/>
    </row>
    <row r="40" spans="25:29" x14ac:dyDescent="0.2">
      <c r="Y40"/>
      <c r="Z40"/>
      <c r="AA40"/>
      <c r="AB40"/>
      <c r="AC40"/>
    </row>
    <row r="41" spans="25:29" x14ac:dyDescent="0.2">
      <c r="Y41"/>
      <c r="Z41"/>
      <c r="AA41"/>
      <c r="AB41"/>
      <c r="AC41"/>
    </row>
    <row r="42" spans="25:29" x14ac:dyDescent="0.2">
      <c r="Y42"/>
      <c r="Z42"/>
      <c r="AA42"/>
      <c r="AB42"/>
      <c r="AC42"/>
    </row>
    <row r="43" spans="25:29" x14ac:dyDescent="0.2">
      <c r="Y43"/>
      <c r="Z43"/>
      <c r="AA43"/>
      <c r="AB43"/>
      <c r="AC43"/>
    </row>
    <row r="44" spans="25:29" x14ac:dyDescent="0.2">
      <c r="Y44"/>
      <c r="Z44"/>
      <c r="AA44"/>
      <c r="AB44"/>
      <c r="AC44"/>
    </row>
    <row r="45" spans="25:29" x14ac:dyDescent="0.2">
      <c r="Y45"/>
      <c r="Z45"/>
      <c r="AA45"/>
      <c r="AB45"/>
      <c r="AC45"/>
    </row>
    <row r="46" spans="25:29" x14ac:dyDescent="0.2">
      <c r="Y46"/>
      <c r="Z46"/>
      <c r="AA46"/>
      <c r="AB46"/>
      <c r="AC46"/>
    </row>
    <row r="47" spans="25:29" x14ac:dyDescent="0.2">
      <c r="Y47"/>
      <c r="Z47"/>
      <c r="AA47"/>
      <c r="AB47"/>
      <c r="AC47"/>
    </row>
    <row r="48" spans="25:29" x14ac:dyDescent="0.2">
      <c r="Y48"/>
      <c r="Z48"/>
      <c r="AA48"/>
      <c r="AB48"/>
      <c r="AC48"/>
    </row>
    <row r="49" spans="25:29" x14ac:dyDescent="0.2">
      <c r="Y49"/>
      <c r="Z49"/>
      <c r="AA49"/>
      <c r="AB49"/>
      <c r="AC49"/>
    </row>
    <row r="50" spans="25:29" x14ac:dyDescent="0.2">
      <c r="Y50"/>
      <c r="Z50"/>
      <c r="AA50"/>
      <c r="AB50"/>
      <c r="AC50"/>
    </row>
    <row r="51" spans="25:29" x14ac:dyDescent="0.2">
      <c r="Y51"/>
      <c r="Z51"/>
      <c r="AA51"/>
      <c r="AB51"/>
      <c r="AC51"/>
    </row>
    <row r="52" spans="25:29" x14ac:dyDescent="0.2">
      <c r="Y52"/>
      <c r="Z52"/>
      <c r="AA52"/>
      <c r="AB52"/>
      <c r="AC52"/>
    </row>
    <row r="53" spans="25:29" x14ac:dyDescent="0.2">
      <c r="Y53"/>
      <c r="Z53"/>
      <c r="AA53"/>
      <c r="AB53"/>
      <c r="AC53"/>
    </row>
    <row r="54" spans="25:29" x14ac:dyDescent="0.2">
      <c r="Y54"/>
      <c r="Z54"/>
      <c r="AA54"/>
      <c r="AB54"/>
      <c r="AC54"/>
    </row>
    <row r="55" spans="25:29" x14ac:dyDescent="0.2">
      <c r="Y55"/>
      <c r="Z55"/>
      <c r="AA55"/>
      <c r="AB55"/>
      <c r="AC55"/>
    </row>
    <row r="56" spans="25:29" x14ac:dyDescent="0.2">
      <c r="Y56"/>
      <c r="Z56"/>
      <c r="AA56"/>
      <c r="AB56"/>
      <c r="AC56"/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57e1614-89a8-454d-af08-6c65f2bae76f">
      <UserInfo>
        <DisplayName/>
        <AccountId xsi:nil="true"/>
        <AccountType/>
      </UserInfo>
    </SharedWithUsers>
    <lcf76f155ced4ddcb4097134ff3c332f xmlns="26150a2a-9158-45f5-a4a1-12b939dd4280">
      <Terms xmlns="http://schemas.microsoft.com/office/infopath/2007/PartnerControls"/>
    </lcf76f155ced4ddcb4097134ff3c332f>
    <TaxCatchAll xmlns="257e1614-89a8-454d-af08-6c65f2bae7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D1928B0A46204AB93117B31744CFCC" ma:contentTypeVersion="17" ma:contentTypeDescription="Create a new document." ma:contentTypeScope="" ma:versionID="0968f49bf41549527f4d9fc25d4a12db">
  <xsd:schema xmlns:xsd="http://www.w3.org/2001/XMLSchema" xmlns:xs="http://www.w3.org/2001/XMLSchema" xmlns:p="http://schemas.microsoft.com/office/2006/metadata/properties" xmlns:ns2="26150a2a-9158-45f5-a4a1-12b939dd4280" xmlns:ns3="257e1614-89a8-454d-af08-6c65f2bae76f" targetNamespace="http://schemas.microsoft.com/office/2006/metadata/properties" ma:root="true" ma:fieldsID="4bd1baf1a1fb10e3583726dbf3f19f12" ns2:_="" ns3:_="">
    <xsd:import namespace="26150a2a-9158-45f5-a4a1-12b939dd4280"/>
    <xsd:import namespace="257e1614-89a8-454d-af08-6c65f2bae7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50a2a-9158-45f5-a4a1-12b939dd42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1a9775-3525-4bf8-b88d-b7eef9d67d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e1614-89a8-454d-af08-6c65f2bae76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32ec53-6985-4109-abd6-169269333437}" ma:internalName="TaxCatchAll" ma:showField="CatchAllData" ma:web="257e1614-89a8-454d-af08-6c65f2bae7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D20764-1E0B-4E5F-A72A-54D0330A47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E624A4-91B6-467B-B967-C4568BD94B6A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26150a2a-9158-45f5-a4a1-12b939dd4280"/>
    <ds:schemaRef ds:uri="http://schemas.openxmlformats.org/package/2006/metadata/core-properties"/>
    <ds:schemaRef ds:uri="257e1614-89a8-454d-af08-6c65f2bae76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A5354A0-5B78-4801-9E4A-3D284E90A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50a2a-9158-45f5-a4a1-12b939dd4280"/>
    <ds:schemaRef ds:uri="257e1614-89a8-454d-af08-6c65f2bae7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>University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Deku Lab</dc:creator>
  <cp:lastModifiedBy>Ifra Ansari</cp:lastModifiedBy>
  <dcterms:created xsi:type="dcterms:W3CDTF">2024-07-17T21:08:55Z</dcterms:created>
  <dcterms:modified xsi:type="dcterms:W3CDTF">2025-11-12T06:56:04Z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0x0101003DD1928B0A46204AB93117B31744CFCC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