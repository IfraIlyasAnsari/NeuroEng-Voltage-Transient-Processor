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regon.sharepoint.com/sites/O365_Dekulab/Shared Documents/Electrochemistry/[99] IFRA_PEDOT Composites/{05} Data Analysis Files/NeuroEng-Voltage-Transient-Processor/Example_Test_Data_Files/"/>
    </mc:Choice>
  </mc:AlternateContent>
  <xr:revisionPtr revIDLastSave="769" documentId="8_{7227F136-EEC5-5D4C-9E1C-248D846F1A7D}" xr6:coauthVersionLast="47" xr6:coauthVersionMax="47" xr10:uidLastSave="{D9440E8E-E5F0-F442-853B-B28C4900C490}"/>
  <bookViews>
    <workbookView xWindow="8500" yWindow="4460" windowWidth="28800" windowHeight="16320" tabRatio="613" xr2:uid="{508B2AF1-D157-4547-88CA-E287048D30CC}"/>
  </bookViews>
  <sheets>
    <sheet name="Metadata_Template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4" i="20" l="1"/>
  <c r="Y9" i="20"/>
  <c r="AB9" i="20" s="1"/>
  <c r="Y8" i="20"/>
  <c r="AB8" i="20" s="1"/>
  <c r="Y7" i="20"/>
  <c r="AB7" i="20" s="1"/>
  <c r="Y6" i="20"/>
  <c r="AB6" i="20" s="1"/>
  <c r="Y5" i="20"/>
  <c r="AB5" i="20" s="1"/>
  <c r="Y4" i="20"/>
  <c r="Z4" i="20" l="1"/>
  <c r="AA8" i="20"/>
  <c r="Z8" i="20"/>
  <c r="AA5" i="20"/>
  <c r="Z5" i="20"/>
  <c r="AA6" i="20"/>
  <c r="Z6" i="20"/>
  <c r="AA9" i="20"/>
  <c r="Z9" i="20"/>
  <c r="AA7" i="20"/>
  <c r="Z7" i="20"/>
  <c r="AA4" i="20"/>
  <c r="X6" i="20" l="1"/>
  <c r="AC6" i="20" s="1"/>
  <c r="X7" i="20"/>
  <c r="AC7" i="20" s="1"/>
  <c r="X8" i="20"/>
  <c r="AC8" i="20" s="1"/>
  <c r="X9" i="20"/>
  <c r="AC9" i="20" s="1"/>
  <c r="X5" i="20"/>
  <c r="AC5" i="20" s="1"/>
  <c r="X4" i="20"/>
  <c r="AC4" i="20" s="1"/>
  <c r="S5" i="20" l="1"/>
  <c r="U5" i="20" s="1"/>
  <c r="S6" i="20"/>
  <c r="V6" i="20" s="1"/>
  <c r="W6" i="20" s="1"/>
  <c r="S7" i="20"/>
  <c r="V7" i="20" s="1"/>
  <c r="W7" i="20" s="1"/>
  <c r="S8" i="20"/>
  <c r="V8" i="20" s="1"/>
  <c r="W8" i="20" s="1"/>
  <c r="S9" i="20"/>
  <c r="V9" i="20" s="1"/>
  <c r="W9" i="20" s="1"/>
  <c r="S4" i="20"/>
  <c r="V4" i="20" s="1"/>
  <c r="W4" i="20" s="1"/>
  <c r="T6" i="20" l="1"/>
  <c r="U6" i="20"/>
  <c r="U8" i="20"/>
  <c r="T8" i="20"/>
  <c r="U4" i="20"/>
  <c r="T7" i="20"/>
  <c r="V5" i="20"/>
  <c r="W5" i="20" s="1"/>
  <c r="U9" i="20"/>
  <c r="T9" i="20"/>
  <c r="T4" i="20"/>
  <c r="T5" i="20"/>
  <c r="U7" i="20"/>
</calcChain>
</file>

<file path=xl/sharedStrings.xml><?xml version="1.0" encoding="utf-8"?>
<sst xmlns="http://schemas.openxmlformats.org/spreadsheetml/2006/main" count="175" uniqueCount="64">
  <si>
    <t>TEK00001</t>
  </si>
  <si>
    <t>TEK00002</t>
  </si>
  <si>
    <t>TEK00003</t>
  </si>
  <si>
    <t>TEK00004</t>
  </si>
  <si>
    <t>TEK00005</t>
  </si>
  <si>
    <t>TEK00006</t>
  </si>
  <si>
    <t>PEDOT</t>
  </si>
  <si>
    <t>IIA42</t>
  </si>
  <si>
    <t>IF0011</t>
  </si>
  <si>
    <t>E04</t>
  </si>
  <si>
    <t>`</t>
  </si>
  <si>
    <t>Date</t>
  </si>
  <si>
    <t>Current(µA)</t>
  </si>
  <si>
    <t>PBSair</t>
  </si>
  <si>
    <t>VT</t>
  </si>
  <si>
    <t>1Billion</t>
  </si>
  <si>
    <t>FileID</t>
  </si>
  <si>
    <t>WaferID</t>
  </si>
  <si>
    <t>DeviceID</t>
  </si>
  <si>
    <t>ElectrodeMaterial</t>
  </si>
  <si>
    <t>Electrolyte</t>
  </si>
  <si>
    <t>TestInfo1</t>
  </si>
  <si>
    <t>TestInfo2</t>
  </si>
  <si>
    <t>ElectrodeID</t>
  </si>
  <si>
    <t>PhaseWidth(µs)</t>
  </si>
  <si>
    <t>InterphaseDelay(µs)</t>
  </si>
  <si>
    <t>Frequency(Hz)</t>
  </si>
  <si>
    <t>OtherInfo</t>
  </si>
  <si>
    <t>TimeRecorded</t>
  </si>
  <si>
    <t>TotalDays</t>
  </si>
  <si>
    <t>TotalHours</t>
  </si>
  <si>
    <t>TotalMin</t>
  </si>
  <si>
    <t>TotalSec</t>
  </si>
  <si>
    <t>TotalPulses</t>
  </si>
  <si>
    <t>WaveformID</t>
  </si>
  <si>
    <t>ElectrodeGeometry</t>
  </si>
  <si>
    <t>ElectrodeDiameter(cm)</t>
  </si>
  <si>
    <t>ElectrodeGSA(cm^2)</t>
  </si>
  <si>
    <t>Circle</t>
  </si>
  <si>
    <t>ChargePerPhase(pC)</t>
  </si>
  <si>
    <t>ChargePerPhase(nC)</t>
  </si>
  <si>
    <t>ChargePerPhase(mC)</t>
  </si>
  <si>
    <t>ChargePerPhase(C)</t>
  </si>
  <si>
    <t>ChargeDensityPerPhase(mC/cm^2)</t>
  </si>
  <si>
    <t>string</t>
  </si>
  <si>
    <t>string (YYYYMMDD)</t>
  </si>
  <si>
    <t>User-Input</t>
  </si>
  <si>
    <t>float / integer</t>
  </si>
  <si>
    <t>Excel-Calculation</t>
  </si>
  <si>
    <t>date</t>
  </si>
  <si>
    <t>BiphasicSymmetricCathodalFirst</t>
  </si>
  <si>
    <t>Code-Output-Stage1</t>
  </si>
  <si>
    <t>Eipp (V1)</t>
  </si>
  <si>
    <t>V2</t>
  </si>
  <si>
    <t>Emc (V4)</t>
  </si>
  <si>
    <t>Code-Output-Stage2</t>
  </si>
  <si>
    <t>E IPend (V5)</t>
  </si>
  <si>
    <t>Ec peak (V3)</t>
  </si>
  <si>
    <t>Vacc leading (V2-V1)</t>
  </si>
  <si>
    <t>Vacc trailing (V3-V4)</t>
  </si>
  <si>
    <t>ΔV drive (V3-V1)</t>
  </si>
  <si>
    <t>ΔEp (V3-V2)</t>
  </si>
  <si>
    <t>float OR integer</t>
  </si>
  <si>
    <t>float OR integer (6 sig fig)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</si>
</sst>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#,##0;[Red]#,##0"/>
    <numFmt numFmtId="166" formatCode="#,##0.00;[Red]#,##0.00"/>
    <numFmt numFmtId="167" formatCode="0.0000"/>
    <numFmt numFmtId="168" formatCode="0.00000"/>
  </numFmts>
  <fonts count="1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name val="Aptos Narrow"/>
      <family val="2"/>
      <scheme val="minor"/>
    </font>
    <font>
      <sz val="16"/>
      <color theme="1"/>
      <name val="Arial"/>
      <family val="2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1" tint="0.499984740745262"/>
      <name val="Aptos Narrow"/>
      <family val="2"/>
      <scheme val="minor"/>
    </font>
    <font>
      <b/>
      <sz val="13"/>
      <color rgb="FF0E2841"/>
      <name val="Aptos Narrow"/>
      <family val="2"/>
      <scheme val="minor"/>
    </font>
    <font>
      <b/>
      <sz val="12"/>
      <color theme="3"/>
      <name val="Aptos Narrow"/>
      <family val="2"/>
      <scheme val="minor"/>
    </font>
    <font>
      <b/>
      <sz val="12"/>
      <color rgb="FF0E284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ck">
        <color indexed="64"/>
      </right>
      <top/>
      <bottom/>
      <diagonal/>
    </border>
    <border>
      <left style="thin">
        <color rgb="FF3F3F3F"/>
      </left>
      <right style="thick">
        <color indexed="64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8" fillId="3" borderId="8" applyNumberFormat="0" applyAlignment="0" applyProtection="0"/>
    <xf numFmtId="0" fontId="9" fillId="4" borderId="9" applyNumberFormat="0" applyAlignment="0" applyProtection="0"/>
    <xf numFmtId="0" fontId="10" fillId="4" borderId="8" applyNumberFormat="0" applyAlignment="0" applyProtection="0"/>
  </cellStyleXfs>
  <cellXfs count="75">
    <xf numFmtId="0" fontId="0" fillId="0" borderId="0" xfId="0"/>
    <xf numFmtId="0" fontId="3" fillId="0" borderId="0" xfId="0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1" fontId="6" fillId="0" borderId="1" xfId="1" applyNumberFormat="1" applyBorder="1" applyAlignment="1">
      <alignment horizontal="center" vertical="center"/>
    </xf>
    <xf numFmtId="164" fontId="6" fillId="0" borderId="1" xfId="1" applyNumberFormat="1" applyBorder="1" applyAlignment="1">
      <alignment horizontal="center" vertical="center"/>
    </xf>
    <xf numFmtId="0" fontId="6" fillId="0" borderId="1" xfId="1" applyBorder="1" applyAlignment="1">
      <alignment horizontal="center" vertical="center"/>
    </xf>
    <xf numFmtId="11" fontId="6" fillId="0" borderId="1" xfId="1" applyNumberFormat="1" applyBorder="1" applyAlignment="1">
      <alignment horizontal="center" vertical="center"/>
    </xf>
    <xf numFmtId="1" fontId="7" fillId="5" borderId="1" xfId="2" applyNumberFormat="1" applyFill="1" applyBorder="1" applyAlignment="1">
      <alignment horizontal="center" vertical="top"/>
    </xf>
    <xf numFmtId="0" fontId="7" fillId="5" borderId="1" xfId="2" applyFill="1" applyBorder="1" applyAlignment="1">
      <alignment horizontal="center" vertical="center"/>
    </xf>
    <xf numFmtId="11" fontId="7" fillId="5" borderId="1" xfId="2" applyNumberFormat="1" applyFill="1" applyBorder="1" applyAlignment="1">
      <alignment horizontal="center" vertical="center"/>
    </xf>
    <xf numFmtId="0" fontId="7" fillId="5" borderId="1" xfId="2" applyNumberFormat="1" applyFill="1" applyBorder="1" applyAlignment="1">
      <alignment horizontal="center" vertical="center"/>
    </xf>
    <xf numFmtId="49" fontId="2" fillId="3" borderId="1" xfId="3" applyNumberFormat="1" applyFont="1" applyBorder="1" applyAlignment="1">
      <alignment horizontal="center" vertical="center"/>
    </xf>
    <xf numFmtId="167" fontId="2" fillId="3" borderId="1" xfId="3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6" fillId="0" borderId="10" xfId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6" fillId="0" borderId="11" xfId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2" fillId="3" borderId="3" xfId="3" applyNumberFormat="1" applyFont="1" applyBorder="1" applyAlignment="1">
      <alignment horizontal="center" vertical="center"/>
    </xf>
    <xf numFmtId="167" fontId="2" fillId="3" borderId="3" xfId="3" applyNumberFormat="1" applyFont="1" applyBorder="1" applyAlignment="1">
      <alignment horizontal="center" vertical="center"/>
    </xf>
    <xf numFmtId="11" fontId="11" fillId="4" borderId="9" xfId="4" applyNumberFormat="1" applyFont="1" applyAlignment="1">
      <alignment horizontal="center" vertical="center"/>
    </xf>
    <xf numFmtId="0" fontId="11" fillId="4" borderId="9" xfId="4" applyNumberFormat="1" applyFont="1" applyAlignment="1">
      <alignment horizontal="center" vertical="center"/>
    </xf>
    <xf numFmtId="164" fontId="6" fillId="0" borderId="11" xfId="1" applyNumberFormat="1" applyBorder="1" applyAlignment="1">
      <alignment horizontal="center" vertical="center"/>
    </xf>
    <xf numFmtId="0" fontId="7" fillId="5" borderId="11" xfId="2" applyFill="1" applyBorder="1" applyAlignment="1">
      <alignment horizontal="center" vertical="center"/>
    </xf>
    <xf numFmtId="0" fontId="11" fillId="4" borderId="12" xfId="4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168" fontId="11" fillId="4" borderId="9" xfId="4" applyNumberFormat="1" applyFont="1" applyAlignment="1">
      <alignment horizontal="center" vertical="center"/>
    </xf>
    <xf numFmtId="2" fontId="12" fillId="6" borderId="11" xfId="0" applyNumberFormat="1" applyFont="1" applyFill="1" applyBorder="1" applyAlignment="1">
      <alignment horizontal="center" vertical="center"/>
    </xf>
    <xf numFmtId="164" fontId="6" fillId="0" borderId="10" xfId="1" applyNumberFormat="1" applyBorder="1" applyAlignment="1">
      <alignment horizontal="center" vertical="center"/>
    </xf>
    <xf numFmtId="2" fontId="7" fillId="5" borderId="10" xfId="2" applyNumberFormat="1" applyFill="1" applyBorder="1" applyAlignment="1">
      <alignment horizontal="center" vertical="center"/>
    </xf>
    <xf numFmtId="2" fontId="11" fillId="4" borderId="14" xfId="4" applyNumberFormat="1" applyFont="1" applyBorder="1" applyAlignment="1">
      <alignment horizontal="center" vertical="center"/>
    </xf>
    <xf numFmtId="168" fontId="11" fillId="4" borderId="12" xfId="4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8" fontId="11" fillId="4" borderId="9" xfId="4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2" fontId="12" fillId="6" borderId="10" xfId="0" applyNumberFormat="1" applyFont="1" applyFill="1" applyBorder="1" applyAlignment="1">
      <alignment horizontal="center" vertical="center"/>
    </xf>
    <xf numFmtId="168" fontId="11" fillId="4" borderId="14" xfId="4" applyNumberFormat="1" applyFont="1" applyBorder="1" applyAlignment="1">
      <alignment horizontal="center"/>
    </xf>
    <xf numFmtId="22" fontId="7" fillId="5" borderId="10" xfId="2" applyNumberFormat="1" applyFill="1" applyBorder="1" applyAlignment="1">
      <alignment horizontal="center" vertical="center"/>
    </xf>
    <xf numFmtId="166" fontId="7" fillId="5" borderId="11" xfId="2" applyNumberFormat="1" applyFill="1" applyBorder="1" applyAlignment="1">
      <alignment horizontal="center" vertical="center"/>
    </xf>
    <xf numFmtId="166" fontId="7" fillId="5" borderId="1" xfId="2" applyNumberFormat="1" applyFill="1" applyBorder="1" applyAlignment="1">
      <alignment horizontal="center" vertical="center"/>
    </xf>
    <xf numFmtId="165" fontId="7" fillId="5" borderId="1" xfId="2" applyNumberFormat="1" applyFill="1" applyBorder="1" applyAlignment="1">
      <alignment horizontal="center" vertical="center"/>
    </xf>
    <xf numFmtId="165" fontId="7" fillId="5" borderId="10" xfId="2" applyNumberFormat="1" applyFill="1" applyBorder="1" applyAlignment="1">
      <alignment horizontal="center" vertical="center"/>
    </xf>
    <xf numFmtId="1" fontId="2" fillId="3" borderId="3" xfId="3" applyNumberFormat="1" applyFont="1" applyBorder="1" applyAlignment="1">
      <alignment horizontal="center" vertical="center"/>
    </xf>
    <xf numFmtId="1" fontId="2" fillId="3" borderId="3" xfId="3" applyNumberFormat="1" applyFont="1" applyBorder="1" applyAlignment="1">
      <alignment horizontal="center" vertical="top"/>
    </xf>
    <xf numFmtId="22" fontId="2" fillId="3" borderId="5" xfId="3" applyNumberFormat="1" applyFont="1" applyBorder="1" applyAlignment="1">
      <alignment horizontal="center" vertical="center"/>
    </xf>
    <xf numFmtId="166" fontId="10" fillId="4" borderId="4" xfId="5" applyNumberFormat="1" applyBorder="1" applyAlignment="1">
      <alignment horizontal="center" vertical="center"/>
    </xf>
    <xf numFmtId="166" fontId="10" fillId="4" borderId="3" xfId="5" applyNumberFormat="1" applyBorder="1" applyAlignment="1">
      <alignment horizontal="center" vertical="center"/>
    </xf>
    <xf numFmtId="165" fontId="10" fillId="4" borderId="3" xfId="5" applyNumberFormat="1" applyBorder="1" applyAlignment="1">
      <alignment horizontal="center" vertical="center"/>
    </xf>
    <xf numFmtId="165" fontId="10" fillId="4" borderId="5" xfId="5" applyNumberFormat="1" applyBorder="1" applyAlignment="1">
      <alignment horizontal="center" vertical="center"/>
    </xf>
    <xf numFmtId="1" fontId="2" fillId="3" borderId="1" xfId="3" applyNumberFormat="1" applyFont="1" applyBorder="1" applyAlignment="1">
      <alignment horizontal="center" vertical="center"/>
    </xf>
    <xf numFmtId="1" fontId="2" fillId="3" borderId="1" xfId="3" applyNumberFormat="1" applyFont="1" applyBorder="1" applyAlignment="1">
      <alignment horizontal="center" vertical="top"/>
    </xf>
    <xf numFmtId="22" fontId="2" fillId="3" borderId="10" xfId="3" applyNumberFormat="1" applyFont="1" applyBorder="1" applyAlignment="1">
      <alignment horizontal="center" vertical="center"/>
    </xf>
    <xf numFmtId="166" fontId="10" fillId="4" borderId="11" xfId="5" applyNumberFormat="1" applyBorder="1" applyAlignment="1">
      <alignment horizontal="center" vertical="center"/>
    </xf>
    <xf numFmtId="166" fontId="10" fillId="4" borderId="1" xfId="5" applyNumberFormat="1" applyBorder="1" applyAlignment="1">
      <alignment horizontal="center" vertical="center"/>
    </xf>
    <xf numFmtId="165" fontId="10" fillId="4" borderId="1" xfId="5" applyNumberFormat="1" applyBorder="1" applyAlignment="1">
      <alignment horizontal="center" vertical="center"/>
    </xf>
    <xf numFmtId="165" fontId="10" fillId="4" borderId="10" xfId="5" applyNumberFormat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1" fontId="13" fillId="5" borderId="1" xfId="2" applyNumberFormat="1" applyFont="1" applyFill="1" applyBorder="1" applyAlignment="1">
      <alignment horizontal="center" vertical="top"/>
    </xf>
    <xf numFmtId="22" fontId="13" fillId="5" borderId="10" xfId="2" applyNumberFormat="1" applyFont="1" applyFill="1" applyBorder="1" applyAlignment="1">
      <alignment horizontal="center" vertical="center"/>
    </xf>
    <xf numFmtId="166" fontId="13" fillId="5" borderId="11" xfId="2" applyNumberFormat="1" applyFont="1" applyFill="1" applyBorder="1" applyAlignment="1">
      <alignment horizontal="center" vertical="center"/>
    </xf>
    <xf numFmtId="166" fontId="13" fillId="5" borderId="1" xfId="2" applyNumberFormat="1" applyFont="1" applyFill="1" applyBorder="1" applyAlignment="1">
      <alignment horizontal="center" vertical="center"/>
    </xf>
    <xf numFmtId="165" fontId="13" fillId="5" borderId="1" xfId="2" applyNumberFormat="1" applyFont="1" applyFill="1" applyBorder="1" applyAlignment="1">
      <alignment horizontal="center" vertical="center"/>
    </xf>
    <xf numFmtId="165" fontId="13" fillId="5" borderId="10" xfId="2" applyNumberFormat="1" applyFont="1" applyFill="1" applyBorder="1" applyAlignment="1">
      <alignment horizontal="center" vertical="center"/>
    </xf>
    <xf numFmtId="0" fontId="13" fillId="5" borderId="11" xfId="2" applyFont="1" applyFill="1" applyBorder="1" applyAlignment="1">
      <alignment horizontal="center" vertical="center"/>
    </xf>
    <xf numFmtId="11" fontId="13" fillId="5" borderId="1" xfId="2" applyNumberFormat="1" applyFont="1" applyFill="1" applyBorder="1" applyAlignment="1">
      <alignment horizontal="center" vertical="center"/>
    </xf>
    <xf numFmtId="0" fontId="13" fillId="5" borderId="1" xfId="2" applyNumberFormat="1" applyFont="1" applyFill="1" applyBorder="1" applyAlignment="1">
      <alignment horizontal="center" vertical="center"/>
    </xf>
    <xf numFmtId="2" fontId="13" fillId="5" borderId="10" xfId="2" applyNumberFormat="1" applyFont="1" applyFill="1" applyBorder="1" applyAlignment="1">
      <alignment horizontal="center" vertical="center"/>
    </xf>
    <xf numFmtId="2" fontId="14" fillId="6" borderId="11" xfId="0" applyNumberFormat="1" applyFont="1" applyFill="1" applyBorder="1" applyAlignment="1">
      <alignment horizontal="center" vertical="center"/>
    </xf>
    <xf numFmtId="2" fontId="14" fillId="6" borderId="1" xfId="0" applyNumberFormat="1" applyFont="1" applyFill="1" applyBorder="1" applyAlignment="1">
      <alignment horizontal="center" vertical="center"/>
    </xf>
    <xf numFmtId="2" fontId="14" fillId="6" borderId="1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6">
    <cellStyle name="Calculation" xfId="5" builtinId="22"/>
    <cellStyle name="Heading 1" xfId="1" builtinId="16"/>
    <cellStyle name="Heading 2" xfId="2" builtinId="17"/>
    <cellStyle name="Input" xfId="3" builtinId="20"/>
    <cellStyle name="Normal" xfId="0" builtinId="0"/>
    <cellStyle name="Output" xfId="4" builtinId="21"/>
  </cellStyles>
  <dxfs count="0"/>
  <tableStyles count="0" defaultTableStyle="TableStyleMedium2" defaultPivotStyle="PivotStyleLight16"/>
  <colors>
    <mruColors>
      <color rgb="FFFF5050"/>
      <color rgb="FF0000FF"/>
      <color rgb="FFCCCC00"/>
      <color rgb="FFFFFF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DD9E-6786-4C8C-B87B-95F81CD0D323}">
  <dimension ref="A1:AL58"/>
  <sheetViews>
    <sheetView tabSelected="1" topLeftCell="T1" zoomScale="160" zoomScaleNormal="125" workbookViewId="0">
      <selection activeCell="R4" sqref="R4"/>
    </sheetView>
  </sheetViews>
  <sheetFormatPr baseColWidth="10" defaultColWidth="21.83203125" defaultRowHeight="16" x14ac:dyDescent="0.2"/>
  <cols>
    <col min="1" max="1" width="11.83203125" style="1" bestFit="1" customWidth="1"/>
    <col min="2" max="2" width="16" style="1" bestFit="1" customWidth="1"/>
    <col min="3" max="4" width="11.83203125" style="1" bestFit="1" customWidth="1"/>
    <col min="5" max="5" width="13.6640625" style="1" bestFit="1" customWidth="1"/>
    <col min="6" max="6" width="22.1640625" style="35" bestFit="1" customWidth="1"/>
    <col min="7" max="7" width="26.1640625" style="35" bestFit="1" customWidth="1"/>
    <col min="8" max="8" width="20" style="1" bestFit="1" customWidth="1"/>
    <col min="9" max="9" width="12.6640625" style="1" bestFit="1" customWidth="1"/>
    <col min="10" max="11" width="11.83203125" style="1" bestFit="1" customWidth="1"/>
    <col min="12" max="12" width="28.5" style="35" bestFit="1" customWidth="1"/>
    <col min="13" max="13" width="13.83203125" style="1" bestFit="1" customWidth="1"/>
    <col min="14" max="14" width="18.33203125" style="1" bestFit="1" customWidth="1"/>
    <col min="15" max="15" width="23" style="1" bestFit="1" customWidth="1"/>
    <col min="16" max="16" width="16.6640625" style="1" bestFit="1" customWidth="1"/>
    <col min="17" max="17" width="11.83203125" style="1" bestFit="1" customWidth="1"/>
    <col min="18" max="18" width="16.83203125" style="27" bestFit="1" customWidth="1"/>
    <col min="19" max="19" width="18" style="19" bestFit="1" customWidth="1"/>
    <col min="20" max="22" width="18" style="1" bestFit="1" customWidth="1"/>
    <col min="23" max="23" width="18" style="27" bestFit="1" customWidth="1"/>
    <col min="24" max="24" width="23.5" style="37" bestFit="1" customWidth="1"/>
    <col min="25" max="26" width="23.5" style="1" bestFit="1" customWidth="1"/>
    <col min="27" max="27" width="24.1640625" style="2" bestFit="1" customWidth="1"/>
    <col min="28" max="28" width="22.1640625" style="1" bestFit="1" customWidth="1"/>
    <col min="29" max="29" width="39.33203125" style="27" bestFit="1" customWidth="1"/>
    <col min="30" max="30" width="22" style="19" bestFit="1" customWidth="1"/>
    <col min="31" max="34" width="22" style="1" bestFit="1" customWidth="1"/>
    <col min="35" max="35" width="23" style="1" bestFit="1" customWidth="1"/>
    <col min="36" max="36" width="22.83203125" style="1" bestFit="1" customWidth="1"/>
    <col min="37" max="37" width="22" style="1" bestFit="1" customWidth="1"/>
    <col min="38" max="38" width="22" style="27" bestFit="1" customWidth="1"/>
    <col min="39" max="16384" width="21.83203125" style="35"/>
  </cols>
  <sheetData>
    <row r="1" spans="1:38" ht="20" x14ac:dyDescent="0.2">
      <c r="A1" s="3" t="s">
        <v>16</v>
      </c>
      <c r="B1" s="4" t="s">
        <v>11</v>
      </c>
      <c r="C1" s="4" t="s">
        <v>17</v>
      </c>
      <c r="D1" s="4" t="s">
        <v>18</v>
      </c>
      <c r="E1" s="4" t="s">
        <v>23</v>
      </c>
      <c r="F1" s="4" t="s">
        <v>35</v>
      </c>
      <c r="G1" s="4" t="s">
        <v>36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34</v>
      </c>
      <c r="M1" s="3" t="s">
        <v>12</v>
      </c>
      <c r="N1" s="4" t="s">
        <v>24</v>
      </c>
      <c r="O1" s="4" t="s">
        <v>25</v>
      </c>
      <c r="P1" s="4" t="s">
        <v>26</v>
      </c>
      <c r="Q1" s="3" t="s">
        <v>27</v>
      </c>
      <c r="R1" s="15" t="s">
        <v>28</v>
      </c>
      <c r="S1" s="17" t="s">
        <v>29</v>
      </c>
      <c r="T1" s="5" t="s">
        <v>30</v>
      </c>
      <c r="U1" s="5" t="s">
        <v>31</v>
      </c>
      <c r="V1" s="5" t="s">
        <v>32</v>
      </c>
      <c r="W1" s="15" t="s">
        <v>33</v>
      </c>
      <c r="X1" s="24" t="s">
        <v>37</v>
      </c>
      <c r="Y1" s="4" t="s">
        <v>39</v>
      </c>
      <c r="Z1" s="4" t="s">
        <v>40</v>
      </c>
      <c r="AA1" s="6" t="s">
        <v>41</v>
      </c>
      <c r="AB1" s="4" t="s">
        <v>42</v>
      </c>
      <c r="AC1" s="31" t="s">
        <v>43</v>
      </c>
      <c r="AD1" s="24" t="s">
        <v>52</v>
      </c>
      <c r="AE1" s="4" t="s">
        <v>53</v>
      </c>
      <c r="AF1" s="4" t="s">
        <v>57</v>
      </c>
      <c r="AG1" s="4" t="s">
        <v>54</v>
      </c>
      <c r="AH1" s="4" t="s">
        <v>56</v>
      </c>
      <c r="AI1" s="4" t="s">
        <v>58</v>
      </c>
      <c r="AJ1" s="4" t="s">
        <v>59</v>
      </c>
      <c r="AK1" s="4" t="s">
        <v>60</v>
      </c>
      <c r="AL1" s="31" t="s">
        <v>61</v>
      </c>
    </row>
    <row r="2" spans="1:38" ht="18" x14ac:dyDescent="0.2">
      <c r="A2" s="8" t="s">
        <v>46</v>
      </c>
      <c r="B2" s="8" t="s">
        <v>46</v>
      </c>
      <c r="C2" s="8" t="s">
        <v>46</v>
      </c>
      <c r="D2" s="8" t="s">
        <v>46</v>
      </c>
      <c r="E2" s="8" t="s">
        <v>46</v>
      </c>
      <c r="F2" s="8" t="s">
        <v>46</v>
      </c>
      <c r="G2" s="8" t="s">
        <v>46</v>
      </c>
      <c r="H2" s="8" t="s">
        <v>46</v>
      </c>
      <c r="I2" s="8" t="s">
        <v>46</v>
      </c>
      <c r="J2" s="8" t="s">
        <v>46</v>
      </c>
      <c r="K2" s="8" t="s">
        <v>46</v>
      </c>
      <c r="L2" s="8" t="s">
        <v>46</v>
      </c>
      <c r="M2" s="8" t="s">
        <v>46</v>
      </c>
      <c r="N2" s="8" t="s">
        <v>46</v>
      </c>
      <c r="O2" s="8" t="s">
        <v>46</v>
      </c>
      <c r="P2" s="8" t="s">
        <v>46</v>
      </c>
      <c r="Q2" s="7" t="s">
        <v>46</v>
      </c>
      <c r="R2" s="41" t="s">
        <v>46</v>
      </c>
      <c r="S2" s="42" t="s">
        <v>48</v>
      </c>
      <c r="T2" s="43" t="s">
        <v>48</v>
      </c>
      <c r="U2" s="44" t="s">
        <v>48</v>
      </c>
      <c r="V2" s="44" t="s">
        <v>48</v>
      </c>
      <c r="W2" s="45" t="s">
        <v>48</v>
      </c>
      <c r="X2" s="25" t="s">
        <v>51</v>
      </c>
      <c r="Y2" s="9" t="s">
        <v>51</v>
      </c>
      <c r="Z2" s="10" t="s">
        <v>51</v>
      </c>
      <c r="AA2" s="9" t="s">
        <v>51</v>
      </c>
      <c r="AB2" s="9" t="s">
        <v>51</v>
      </c>
      <c r="AC2" s="32" t="s">
        <v>51</v>
      </c>
      <c r="AD2" s="30" t="s">
        <v>55</v>
      </c>
      <c r="AE2" s="28" t="s">
        <v>55</v>
      </c>
      <c r="AF2" s="28" t="s">
        <v>55</v>
      </c>
      <c r="AG2" s="28" t="s">
        <v>55</v>
      </c>
      <c r="AH2" s="28" t="s">
        <v>55</v>
      </c>
      <c r="AI2" s="28" t="s">
        <v>55</v>
      </c>
      <c r="AJ2" s="28" t="s">
        <v>55</v>
      </c>
      <c r="AK2" s="28" t="s">
        <v>55</v>
      </c>
      <c r="AL2" s="39" t="s">
        <v>55</v>
      </c>
    </row>
    <row r="3" spans="1:38" s="74" customFormat="1" x14ac:dyDescent="0.2">
      <c r="A3" s="60" t="s">
        <v>44</v>
      </c>
      <c r="B3" s="60" t="s">
        <v>45</v>
      </c>
      <c r="C3" s="60" t="s">
        <v>44</v>
      </c>
      <c r="D3" s="60" t="s">
        <v>44</v>
      </c>
      <c r="E3" s="60" t="s">
        <v>44</v>
      </c>
      <c r="F3" s="60" t="s">
        <v>44</v>
      </c>
      <c r="G3" s="60" t="s">
        <v>47</v>
      </c>
      <c r="H3" s="60" t="s">
        <v>44</v>
      </c>
      <c r="I3" s="60" t="s">
        <v>44</v>
      </c>
      <c r="J3" s="60" t="s">
        <v>44</v>
      </c>
      <c r="K3" s="60" t="s">
        <v>44</v>
      </c>
      <c r="L3" s="60" t="s">
        <v>44</v>
      </c>
      <c r="M3" s="60" t="s">
        <v>62</v>
      </c>
      <c r="N3" s="60" t="s">
        <v>62</v>
      </c>
      <c r="O3" s="60" t="s">
        <v>62</v>
      </c>
      <c r="P3" s="60" t="s">
        <v>62</v>
      </c>
      <c r="Q3" s="61" t="s">
        <v>44</v>
      </c>
      <c r="R3" s="62" t="s">
        <v>49</v>
      </c>
      <c r="S3" s="63" t="s">
        <v>62</v>
      </c>
      <c r="T3" s="64" t="s">
        <v>62</v>
      </c>
      <c r="U3" s="65" t="s">
        <v>62</v>
      </c>
      <c r="V3" s="65" t="s">
        <v>62</v>
      </c>
      <c r="W3" s="66" t="s">
        <v>62</v>
      </c>
      <c r="X3" s="67" t="s">
        <v>62</v>
      </c>
      <c r="Y3" s="68" t="s">
        <v>62</v>
      </c>
      <c r="Z3" s="69" t="s">
        <v>62</v>
      </c>
      <c r="AA3" s="68" t="s">
        <v>62</v>
      </c>
      <c r="AB3" s="68" t="s">
        <v>62</v>
      </c>
      <c r="AC3" s="70" t="s">
        <v>62</v>
      </c>
      <c r="AD3" s="71" t="s">
        <v>63</v>
      </c>
      <c r="AE3" s="72" t="s">
        <v>63</v>
      </c>
      <c r="AF3" s="72" t="s">
        <v>63</v>
      </c>
      <c r="AG3" s="72" t="s">
        <v>63</v>
      </c>
      <c r="AH3" s="72" t="s">
        <v>63</v>
      </c>
      <c r="AI3" s="72" t="s">
        <v>63</v>
      </c>
      <c r="AJ3" s="72" t="s">
        <v>63</v>
      </c>
      <c r="AK3" s="72" t="s">
        <v>63</v>
      </c>
      <c r="AL3" s="73" t="s">
        <v>63</v>
      </c>
    </row>
    <row r="4" spans="1:38" x14ac:dyDescent="0.2">
      <c r="A4" s="20" t="s">
        <v>0</v>
      </c>
      <c r="B4" s="20">
        <v>20250616</v>
      </c>
      <c r="C4" s="20" t="s">
        <v>8</v>
      </c>
      <c r="D4" s="20" t="s">
        <v>7</v>
      </c>
      <c r="E4" s="20" t="s">
        <v>9</v>
      </c>
      <c r="F4" s="20" t="s">
        <v>38</v>
      </c>
      <c r="G4" s="21">
        <v>5.0000000000000001E-3</v>
      </c>
      <c r="H4" s="20" t="s">
        <v>6</v>
      </c>
      <c r="I4" s="20" t="s">
        <v>13</v>
      </c>
      <c r="J4" s="20" t="s">
        <v>14</v>
      </c>
      <c r="K4" s="20" t="s">
        <v>15</v>
      </c>
      <c r="L4" s="20" t="s">
        <v>50</v>
      </c>
      <c r="M4" s="46">
        <v>350</v>
      </c>
      <c r="N4" s="46">
        <v>200</v>
      </c>
      <c r="O4" s="46">
        <v>100</v>
      </c>
      <c r="P4" s="46">
        <v>500</v>
      </c>
      <c r="Q4" s="47"/>
      <c r="R4" s="48">
        <v>45824.861111111109</v>
      </c>
      <c r="S4" s="49">
        <f t="shared" ref="S4:S9" si="0">R4-$R$4</f>
        <v>0</v>
      </c>
      <c r="T4" s="50">
        <f t="shared" ref="T4:T9" si="1">S4*24</f>
        <v>0</v>
      </c>
      <c r="U4" s="51">
        <f t="shared" ref="U4:U9" si="2">S4*24*60</f>
        <v>0</v>
      </c>
      <c r="V4" s="51">
        <f t="shared" ref="V4:V9" si="3">S4*24*60*60</f>
        <v>0</v>
      </c>
      <c r="W4" s="52">
        <f t="shared" ref="W4:W9" si="4">500*V4</f>
        <v>0</v>
      </c>
      <c r="X4" s="26">
        <f t="shared" ref="X4:X9" si="5">3.141592654*(G4/2)^2</f>
        <v>1.9634954087500003E-5</v>
      </c>
      <c r="Y4" s="22">
        <f t="shared" ref="Y4:Y9" si="6">M4*N4</f>
        <v>70000</v>
      </c>
      <c r="Z4" s="23">
        <f t="shared" ref="Z4:Z9" si="7">AB4*10^9</f>
        <v>70</v>
      </c>
      <c r="AA4" s="22">
        <f t="shared" ref="AA4:AA9" si="8">AB4*10^3</f>
        <v>7.0000000000000007E-5</v>
      </c>
      <c r="AB4" s="22">
        <f t="shared" ref="AB4:AB9" si="9">Y4/10^12</f>
        <v>7.0000000000000005E-8</v>
      </c>
      <c r="AC4" s="33">
        <f t="shared" ref="AC4:AC9" si="10">AA4/X4</f>
        <v>3.5650707247929541</v>
      </c>
      <c r="AD4" s="34">
        <v>-1.3335100000000001E-2</v>
      </c>
      <c r="AE4" s="29">
        <v>-1.37466</v>
      </c>
      <c r="AF4" s="29">
        <v>-1.9258299999999999</v>
      </c>
      <c r="AG4" s="29">
        <v>-0.55122599999999999</v>
      </c>
      <c r="AH4" s="29">
        <v>-0.32669500000000001</v>
      </c>
      <c r="AI4" s="36">
        <v>-1.3613275</v>
      </c>
      <c r="AJ4" s="36">
        <v>-1.3746069999999999</v>
      </c>
      <c r="AK4" s="36">
        <v>-1.9124975</v>
      </c>
      <c r="AL4" s="40">
        <v>-0.55117000000000005</v>
      </c>
    </row>
    <row r="5" spans="1:38" x14ac:dyDescent="0.2">
      <c r="A5" s="11" t="s">
        <v>1</v>
      </c>
      <c r="B5" s="11">
        <v>20250616</v>
      </c>
      <c r="C5" s="11" t="s">
        <v>8</v>
      </c>
      <c r="D5" s="11" t="s">
        <v>7</v>
      </c>
      <c r="E5" s="11" t="s">
        <v>9</v>
      </c>
      <c r="F5" s="11" t="s">
        <v>38</v>
      </c>
      <c r="G5" s="12">
        <v>5.0000000000000001E-3</v>
      </c>
      <c r="H5" s="11" t="s">
        <v>6</v>
      </c>
      <c r="I5" s="11" t="s">
        <v>13</v>
      </c>
      <c r="J5" s="11" t="s">
        <v>14</v>
      </c>
      <c r="K5" s="11" t="s">
        <v>15</v>
      </c>
      <c r="L5" s="11" t="s">
        <v>50</v>
      </c>
      <c r="M5" s="53">
        <v>350</v>
      </c>
      <c r="N5" s="53">
        <v>200</v>
      </c>
      <c r="O5" s="53">
        <v>100</v>
      </c>
      <c r="P5" s="53">
        <v>500</v>
      </c>
      <c r="Q5" s="54"/>
      <c r="R5" s="55">
        <v>45825.444444444445</v>
      </c>
      <c r="S5" s="56">
        <f t="shared" si="0"/>
        <v>0.58333333333575865</v>
      </c>
      <c r="T5" s="57">
        <f t="shared" si="1"/>
        <v>14.000000000058208</v>
      </c>
      <c r="U5" s="58">
        <f t="shared" si="2"/>
        <v>840.00000000349246</v>
      </c>
      <c r="V5" s="58">
        <f t="shared" si="3"/>
        <v>50400.000000209548</v>
      </c>
      <c r="W5" s="59">
        <f t="shared" si="4"/>
        <v>25200000.000104774</v>
      </c>
      <c r="X5" s="26">
        <f t="shared" si="5"/>
        <v>1.9634954087500003E-5</v>
      </c>
      <c r="Y5" s="22">
        <f t="shared" si="6"/>
        <v>70000</v>
      </c>
      <c r="Z5" s="23">
        <f t="shared" si="7"/>
        <v>70</v>
      </c>
      <c r="AA5" s="22">
        <f t="shared" si="8"/>
        <v>7.0000000000000007E-5</v>
      </c>
      <c r="AB5" s="22">
        <f t="shared" si="9"/>
        <v>7.0000000000000005E-8</v>
      </c>
      <c r="AC5" s="33">
        <f t="shared" si="10"/>
        <v>3.5650707247929541</v>
      </c>
      <c r="AD5" s="34">
        <v>-5.8925899999999996E-4</v>
      </c>
      <c r="AE5" s="29">
        <v>-1.3914500000000001</v>
      </c>
      <c r="AF5" s="29">
        <v>-1.92317</v>
      </c>
      <c r="AG5" s="29">
        <v>-0.51433899999999999</v>
      </c>
      <c r="AH5" s="29">
        <v>-0.30254199999999998</v>
      </c>
      <c r="AI5" s="36">
        <v>-1.3908612</v>
      </c>
      <c r="AJ5" s="36">
        <v>-1.4088309999999999</v>
      </c>
      <c r="AK5" s="36">
        <v>-1.9225812</v>
      </c>
      <c r="AL5" s="40">
        <v>-0.53171999999999997</v>
      </c>
    </row>
    <row r="6" spans="1:38" x14ac:dyDescent="0.2">
      <c r="A6" s="11" t="s">
        <v>2</v>
      </c>
      <c r="B6" s="11">
        <v>20250616</v>
      </c>
      <c r="C6" s="11" t="s">
        <v>8</v>
      </c>
      <c r="D6" s="11" t="s">
        <v>7</v>
      </c>
      <c r="E6" s="11" t="s">
        <v>9</v>
      </c>
      <c r="F6" s="11" t="s">
        <v>38</v>
      </c>
      <c r="G6" s="12">
        <v>5.0000000000000001E-3</v>
      </c>
      <c r="H6" s="11" t="s">
        <v>6</v>
      </c>
      <c r="I6" s="11" t="s">
        <v>13</v>
      </c>
      <c r="J6" s="11" t="s">
        <v>14</v>
      </c>
      <c r="K6" s="11" t="s">
        <v>15</v>
      </c>
      <c r="L6" s="11" t="s">
        <v>50</v>
      </c>
      <c r="M6" s="53">
        <v>350</v>
      </c>
      <c r="N6" s="53">
        <v>200</v>
      </c>
      <c r="O6" s="53">
        <v>100</v>
      </c>
      <c r="P6" s="53">
        <v>500</v>
      </c>
      <c r="Q6" s="54"/>
      <c r="R6" s="55">
        <v>45826.395833333336</v>
      </c>
      <c r="S6" s="56">
        <f t="shared" si="0"/>
        <v>1.5347222222262644</v>
      </c>
      <c r="T6" s="57">
        <f t="shared" si="1"/>
        <v>36.833333333430346</v>
      </c>
      <c r="U6" s="58">
        <f t="shared" si="2"/>
        <v>2210.0000000058208</v>
      </c>
      <c r="V6" s="58">
        <f t="shared" si="3"/>
        <v>132600.00000034925</v>
      </c>
      <c r="W6" s="59">
        <f t="shared" si="4"/>
        <v>66300000.000174627</v>
      </c>
      <c r="X6" s="26">
        <f t="shared" si="5"/>
        <v>1.9634954087500003E-5</v>
      </c>
      <c r="Y6" s="22">
        <f t="shared" si="6"/>
        <v>70000</v>
      </c>
      <c r="Z6" s="23">
        <f t="shared" si="7"/>
        <v>70</v>
      </c>
      <c r="AA6" s="22">
        <f t="shared" si="8"/>
        <v>7.0000000000000007E-5</v>
      </c>
      <c r="AB6" s="22">
        <f t="shared" si="9"/>
        <v>7.0000000000000005E-8</v>
      </c>
      <c r="AC6" s="33">
        <f t="shared" si="10"/>
        <v>3.5650707247929541</v>
      </c>
      <c r="AD6" s="34">
        <v>-8.1222399999999993E-3</v>
      </c>
      <c r="AE6" s="29">
        <v>-1.4389099999999999</v>
      </c>
      <c r="AF6" s="29">
        <v>-1.9824999999999999</v>
      </c>
      <c r="AG6" s="29">
        <v>-0.51570000000000005</v>
      </c>
      <c r="AH6" s="29">
        <v>-0.30757499999999999</v>
      </c>
      <c r="AI6" s="36">
        <v>-1.4307837000000001</v>
      </c>
      <c r="AJ6" s="36">
        <v>-1.466796</v>
      </c>
      <c r="AK6" s="36">
        <v>-1.9743736999999999</v>
      </c>
      <c r="AL6" s="40">
        <v>-0.54359000000000002</v>
      </c>
    </row>
    <row r="7" spans="1:38" x14ac:dyDescent="0.2">
      <c r="A7" s="11" t="s">
        <v>3</v>
      </c>
      <c r="B7" s="11">
        <v>20250616</v>
      </c>
      <c r="C7" s="11" t="s">
        <v>8</v>
      </c>
      <c r="D7" s="11" t="s">
        <v>7</v>
      </c>
      <c r="E7" s="11" t="s">
        <v>9</v>
      </c>
      <c r="F7" s="11" t="s">
        <v>38</v>
      </c>
      <c r="G7" s="12">
        <v>5.0000000000000001E-3</v>
      </c>
      <c r="H7" s="11" t="s">
        <v>6</v>
      </c>
      <c r="I7" s="11" t="s">
        <v>13</v>
      </c>
      <c r="J7" s="11" t="s">
        <v>14</v>
      </c>
      <c r="K7" s="11" t="s">
        <v>15</v>
      </c>
      <c r="L7" s="11" t="s">
        <v>50</v>
      </c>
      <c r="M7" s="53">
        <v>350</v>
      </c>
      <c r="N7" s="53">
        <v>200</v>
      </c>
      <c r="O7" s="53">
        <v>100</v>
      </c>
      <c r="P7" s="53">
        <v>500</v>
      </c>
      <c r="Q7" s="54"/>
      <c r="R7" s="55">
        <v>45827.486111111109</v>
      </c>
      <c r="S7" s="56">
        <f t="shared" si="0"/>
        <v>2.625</v>
      </c>
      <c r="T7" s="57">
        <f t="shared" si="1"/>
        <v>63</v>
      </c>
      <c r="U7" s="58">
        <f t="shared" si="2"/>
        <v>3780</v>
      </c>
      <c r="V7" s="58">
        <f t="shared" si="3"/>
        <v>226800</v>
      </c>
      <c r="W7" s="59">
        <f t="shared" si="4"/>
        <v>113400000</v>
      </c>
      <c r="X7" s="26">
        <f t="shared" si="5"/>
        <v>1.9634954087500003E-5</v>
      </c>
      <c r="Y7" s="22">
        <f t="shared" si="6"/>
        <v>70000</v>
      </c>
      <c r="Z7" s="23">
        <f t="shared" si="7"/>
        <v>70</v>
      </c>
      <c r="AA7" s="22">
        <f t="shared" si="8"/>
        <v>7.0000000000000007E-5</v>
      </c>
      <c r="AB7" s="22">
        <f t="shared" si="9"/>
        <v>7.0000000000000005E-8</v>
      </c>
      <c r="AC7" s="33">
        <f t="shared" si="10"/>
        <v>3.5650707247929541</v>
      </c>
      <c r="AD7" s="34">
        <v>-1.13282E-2</v>
      </c>
      <c r="AE7" s="29">
        <v>-1.56854</v>
      </c>
      <c r="AF7" s="29">
        <v>-2.0605199999999999</v>
      </c>
      <c r="AG7" s="29">
        <v>-0.466696</v>
      </c>
      <c r="AH7" s="29">
        <v>-0.26832600000000001</v>
      </c>
      <c r="AI7" s="36">
        <v>-1.5572139</v>
      </c>
      <c r="AJ7" s="36">
        <v>-1.593826</v>
      </c>
      <c r="AK7" s="36">
        <v>-2.0491939000000001</v>
      </c>
      <c r="AL7" s="40">
        <v>-0.49197999999999997</v>
      </c>
    </row>
    <row r="8" spans="1:38" x14ac:dyDescent="0.2">
      <c r="A8" s="11" t="s">
        <v>4</v>
      </c>
      <c r="B8" s="11">
        <v>20250616</v>
      </c>
      <c r="C8" s="11" t="s">
        <v>8</v>
      </c>
      <c r="D8" s="11" t="s">
        <v>7</v>
      </c>
      <c r="E8" s="11" t="s">
        <v>9</v>
      </c>
      <c r="F8" s="11" t="s">
        <v>38</v>
      </c>
      <c r="G8" s="12">
        <v>5.0000000000000001E-3</v>
      </c>
      <c r="H8" s="11" t="s">
        <v>6</v>
      </c>
      <c r="I8" s="11" t="s">
        <v>13</v>
      </c>
      <c r="J8" s="11" t="s">
        <v>14</v>
      </c>
      <c r="K8" s="11" t="s">
        <v>15</v>
      </c>
      <c r="L8" s="11" t="s">
        <v>50</v>
      </c>
      <c r="M8" s="53">
        <v>350</v>
      </c>
      <c r="N8" s="53">
        <v>200</v>
      </c>
      <c r="O8" s="53">
        <v>100</v>
      </c>
      <c r="P8" s="53">
        <v>500</v>
      </c>
      <c r="Q8" s="54"/>
      <c r="R8" s="55">
        <v>45827.486111111109</v>
      </c>
      <c r="S8" s="56">
        <f t="shared" si="0"/>
        <v>2.625</v>
      </c>
      <c r="T8" s="57">
        <f t="shared" si="1"/>
        <v>63</v>
      </c>
      <c r="U8" s="58">
        <f t="shared" si="2"/>
        <v>3780</v>
      </c>
      <c r="V8" s="58">
        <f t="shared" si="3"/>
        <v>226800</v>
      </c>
      <c r="W8" s="59">
        <f t="shared" si="4"/>
        <v>113400000</v>
      </c>
      <c r="X8" s="26">
        <f t="shared" si="5"/>
        <v>1.9634954087500003E-5</v>
      </c>
      <c r="Y8" s="22">
        <f t="shared" si="6"/>
        <v>70000</v>
      </c>
      <c r="Z8" s="23">
        <f t="shared" si="7"/>
        <v>70</v>
      </c>
      <c r="AA8" s="22">
        <f t="shared" si="8"/>
        <v>7.0000000000000007E-5</v>
      </c>
      <c r="AB8" s="22">
        <f t="shared" si="9"/>
        <v>7.0000000000000005E-8</v>
      </c>
      <c r="AC8" s="33">
        <f t="shared" si="10"/>
        <v>3.5650707247929541</v>
      </c>
      <c r="AD8" s="34">
        <v>-7.9647999999999993E-3</v>
      </c>
      <c r="AE8" s="29">
        <v>-1.65482</v>
      </c>
      <c r="AF8" s="29">
        <v>-2.2411699999999999</v>
      </c>
      <c r="AG8" s="29">
        <v>-0.55778399999999995</v>
      </c>
      <c r="AH8" s="29">
        <v>-0.35531000000000001</v>
      </c>
      <c r="AI8" s="36">
        <v>-1.646855</v>
      </c>
      <c r="AJ8" s="36">
        <v>-1.683386</v>
      </c>
      <c r="AK8" s="36">
        <v>-2.2332049999999999</v>
      </c>
      <c r="AL8" s="40">
        <v>-0.58635000000000004</v>
      </c>
    </row>
    <row r="9" spans="1:38" x14ac:dyDescent="0.2">
      <c r="A9" s="11" t="s">
        <v>5</v>
      </c>
      <c r="B9" s="11">
        <v>20250616</v>
      </c>
      <c r="C9" s="11" t="s">
        <v>8</v>
      </c>
      <c r="D9" s="11" t="s">
        <v>7</v>
      </c>
      <c r="E9" s="11" t="s">
        <v>9</v>
      </c>
      <c r="F9" s="11" t="s">
        <v>38</v>
      </c>
      <c r="G9" s="12">
        <v>5.0000000000000001E-3</v>
      </c>
      <c r="H9" s="11" t="s">
        <v>6</v>
      </c>
      <c r="I9" s="11" t="s">
        <v>13</v>
      </c>
      <c r="J9" s="11" t="s">
        <v>14</v>
      </c>
      <c r="K9" s="11" t="s">
        <v>15</v>
      </c>
      <c r="L9" s="11" t="s">
        <v>50</v>
      </c>
      <c r="M9" s="53">
        <v>350</v>
      </c>
      <c r="N9" s="53">
        <v>200</v>
      </c>
      <c r="O9" s="53">
        <v>100</v>
      </c>
      <c r="P9" s="53">
        <v>500</v>
      </c>
      <c r="Q9" s="54"/>
      <c r="R9" s="55">
        <v>45828.569444444445</v>
      </c>
      <c r="S9" s="56">
        <f t="shared" si="0"/>
        <v>3.7083333333357587</v>
      </c>
      <c r="T9" s="57">
        <f t="shared" si="1"/>
        <v>89.000000000058208</v>
      </c>
      <c r="U9" s="58">
        <f t="shared" si="2"/>
        <v>5340.0000000034925</v>
      </c>
      <c r="V9" s="58">
        <f t="shared" si="3"/>
        <v>320400.00000020955</v>
      </c>
      <c r="W9" s="59">
        <f t="shared" si="4"/>
        <v>160200000.00010478</v>
      </c>
      <c r="X9" s="26">
        <f t="shared" si="5"/>
        <v>1.9634954087500003E-5</v>
      </c>
      <c r="Y9" s="22">
        <f t="shared" si="6"/>
        <v>70000</v>
      </c>
      <c r="Z9" s="23">
        <f t="shared" si="7"/>
        <v>70</v>
      </c>
      <c r="AA9" s="22">
        <f t="shared" si="8"/>
        <v>7.0000000000000007E-5</v>
      </c>
      <c r="AB9" s="22">
        <f t="shared" si="9"/>
        <v>7.0000000000000005E-8</v>
      </c>
      <c r="AC9" s="33">
        <f t="shared" si="10"/>
        <v>3.5650707247929541</v>
      </c>
    </row>
    <row r="10" spans="1:38" ht="20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6"/>
      <c r="S10" s="18"/>
      <c r="T10" s="13"/>
      <c r="U10" s="14"/>
      <c r="V10" s="14"/>
      <c r="W10" s="16"/>
      <c r="X10" s="18"/>
      <c r="Y10" s="13"/>
      <c r="Z10" s="13"/>
      <c r="AA10" s="13"/>
      <c r="AB10" s="13"/>
      <c r="AC10" s="16"/>
      <c r="AD10" s="18"/>
      <c r="AE10" s="13"/>
      <c r="AF10" s="13"/>
      <c r="AG10" s="13"/>
      <c r="AH10" s="13"/>
      <c r="AI10" s="13"/>
      <c r="AJ10" s="13"/>
      <c r="AK10" s="13"/>
      <c r="AL10" s="16"/>
    </row>
    <row r="11" spans="1:38" x14ac:dyDescent="0.2">
      <c r="AA11" s="1"/>
    </row>
    <row r="12" spans="1:38" x14ac:dyDescent="0.2">
      <c r="AA12" s="1"/>
    </row>
    <row r="13" spans="1:38" x14ac:dyDescent="0.2">
      <c r="Y13" s="35"/>
      <c r="Z13" s="35"/>
      <c r="AA13" s="35"/>
      <c r="AB13" s="35"/>
      <c r="AC13" s="38"/>
      <c r="AD13" s="37"/>
      <c r="AE13" s="35"/>
      <c r="AF13" s="35"/>
      <c r="AG13" s="35"/>
      <c r="AH13" s="35"/>
      <c r="AI13" s="35"/>
      <c r="AJ13" s="35"/>
      <c r="AK13" s="35"/>
      <c r="AL13" s="38"/>
    </row>
    <row r="14" spans="1:38" x14ac:dyDescent="0.2">
      <c r="Y14" s="35"/>
      <c r="Z14" s="35"/>
      <c r="AA14" s="35"/>
      <c r="AB14" s="35"/>
      <c r="AC14" s="38"/>
      <c r="AD14" s="37"/>
      <c r="AE14" s="35"/>
      <c r="AF14" s="35"/>
      <c r="AG14" s="35"/>
      <c r="AH14" s="35"/>
      <c r="AI14" s="35"/>
      <c r="AJ14" s="35"/>
      <c r="AK14" s="35"/>
      <c r="AL14" s="38"/>
    </row>
    <row r="15" spans="1:38" x14ac:dyDescent="0.2">
      <c r="W15" s="27" t="s">
        <v>10</v>
      </c>
      <c r="Y15" s="35"/>
      <c r="Z15" s="35"/>
      <c r="AA15" s="35"/>
      <c r="AB15" s="35"/>
      <c r="AC15" s="38"/>
      <c r="AD15" s="37"/>
      <c r="AE15" s="35"/>
      <c r="AF15" s="35"/>
      <c r="AG15" s="35"/>
      <c r="AH15" s="35"/>
      <c r="AI15" s="35"/>
      <c r="AJ15" s="35"/>
      <c r="AK15" s="35"/>
      <c r="AL15" s="38"/>
    </row>
    <row r="16" spans="1:38" x14ac:dyDescent="0.2">
      <c r="Y16" s="35"/>
      <c r="Z16" s="35"/>
      <c r="AA16" s="35"/>
      <c r="AB16" s="35"/>
      <c r="AC16" s="38"/>
      <c r="AD16" s="37"/>
      <c r="AE16" s="35"/>
      <c r="AF16" s="35"/>
      <c r="AG16" s="35"/>
      <c r="AH16" s="35"/>
      <c r="AI16" s="35"/>
      <c r="AJ16" s="35"/>
      <c r="AK16" s="35"/>
      <c r="AL16" s="38"/>
    </row>
    <row r="17" spans="25:38" x14ac:dyDescent="0.2">
      <c r="Y17" s="35"/>
      <c r="Z17" s="35"/>
      <c r="AA17" s="35"/>
      <c r="AB17" s="35"/>
      <c r="AC17" s="38"/>
      <c r="AD17" s="37"/>
      <c r="AE17" s="35"/>
      <c r="AF17" s="35"/>
      <c r="AG17" s="35"/>
      <c r="AH17" s="35"/>
      <c r="AI17" s="35"/>
      <c r="AJ17" s="35"/>
      <c r="AK17" s="35"/>
      <c r="AL17" s="38"/>
    </row>
    <row r="18" spans="25:38" x14ac:dyDescent="0.2">
      <c r="Y18" s="35"/>
      <c r="Z18" s="35"/>
      <c r="AA18" s="35"/>
      <c r="AB18" s="35"/>
      <c r="AC18" s="38"/>
      <c r="AD18" s="37"/>
      <c r="AE18" s="35"/>
      <c r="AF18" s="35"/>
      <c r="AG18" s="35"/>
      <c r="AH18" s="35"/>
      <c r="AI18" s="35"/>
      <c r="AJ18" s="35"/>
      <c r="AK18" s="35"/>
      <c r="AL18" s="38"/>
    </row>
    <row r="19" spans="25:38" x14ac:dyDescent="0.2">
      <c r="Y19" s="35"/>
      <c r="Z19" s="35"/>
      <c r="AA19" s="35"/>
      <c r="AB19" s="35"/>
      <c r="AC19" s="38"/>
      <c r="AD19" s="37"/>
      <c r="AE19" s="35"/>
      <c r="AF19" s="35"/>
      <c r="AG19" s="35"/>
      <c r="AH19" s="35"/>
      <c r="AI19" s="35"/>
      <c r="AJ19" s="35"/>
      <c r="AK19" s="35"/>
      <c r="AL19" s="38"/>
    </row>
    <row r="20" spans="25:38" x14ac:dyDescent="0.2">
      <c r="Y20" s="35"/>
      <c r="Z20" s="35"/>
      <c r="AA20" s="35"/>
      <c r="AB20" s="35"/>
      <c r="AC20" s="38"/>
      <c r="AD20" s="37"/>
      <c r="AE20" s="35"/>
      <c r="AF20" s="35"/>
      <c r="AG20" s="35"/>
      <c r="AH20" s="35"/>
      <c r="AI20" s="35"/>
      <c r="AJ20" s="35"/>
      <c r="AK20" s="35"/>
      <c r="AL20" s="38"/>
    </row>
    <row r="21" spans="25:38" x14ac:dyDescent="0.2">
      <c r="Y21" s="35"/>
      <c r="Z21" s="35"/>
      <c r="AA21" s="35"/>
      <c r="AB21" s="35"/>
      <c r="AC21" s="38"/>
      <c r="AD21" s="37"/>
      <c r="AE21" s="35"/>
      <c r="AF21" s="35"/>
      <c r="AG21" s="35"/>
      <c r="AH21" s="35"/>
      <c r="AI21" s="35"/>
      <c r="AJ21" s="35"/>
      <c r="AK21" s="35"/>
      <c r="AL21" s="38"/>
    </row>
    <row r="22" spans="25:38" x14ac:dyDescent="0.2">
      <c r="Y22" s="35"/>
      <c r="Z22" s="35"/>
      <c r="AA22" s="35"/>
      <c r="AB22" s="35"/>
      <c r="AC22" s="38"/>
      <c r="AD22" s="37"/>
      <c r="AE22" s="35"/>
      <c r="AF22" s="35"/>
      <c r="AG22" s="35"/>
      <c r="AH22" s="35"/>
      <c r="AI22" s="35"/>
      <c r="AJ22" s="35"/>
      <c r="AK22" s="35"/>
      <c r="AL22" s="38"/>
    </row>
    <row r="23" spans="25:38" x14ac:dyDescent="0.2">
      <c r="Y23" s="35"/>
      <c r="Z23" s="35"/>
      <c r="AA23" s="35"/>
      <c r="AB23" s="35"/>
      <c r="AC23" s="38"/>
      <c r="AD23" s="37"/>
      <c r="AE23" s="35"/>
      <c r="AF23" s="35"/>
      <c r="AG23" s="35"/>
      <c r="AH23" s="35"/>
      <c r="AI23" s="35"/>
      <c r="AJ23" s="35"/>
      <c r="AK23" s="35"/>
      <c r="AL23" s="38"/>
    </row>
    <row r="24" spans="25:38" x14ac:dyDescent="0.2">
      <c r="Y24" s="35"/>
      <c r="Z24" s="35"/>
      <c r="AA24" s="35"/>
      <c r="AB24" s="35"/>
      <c r="AC24" s="38"/>
      <c r="AD24" s="37"/>
      <c r="AE24" s="35"/>
      <c r="AF24" s="35"/>
      <c r="AG24" s="35"/>
      <c r="AH24" s="35"/>
      <c r="AI24" s="35"/>
      <c r="AJ24" s="35"/>
      <c r="AK24" s="35"/>
      <c r="AL24" s="38"/>
    </row>
    <row r="25" spans="25:38" x14ac:dyDescent="0.2">
      <c r="Y25" s="35"/>
      <c r="Z25" s="35"/>
      <c r="AA25" s="35"/>
      <c r="AB25" s="35"/>
      <c r="AC25" s="38"/>
      <c r="AD25" s="37"/>
      <c r="AE25" s="35"/>
      <c r="AF25" s="35"/>
      <c r="AG25" s="35"/>
      <c r="AH25" s="35"/>
      <c r="AI25" s="35"/>
      <c r="AJ25" s="35"/>
      <c r="AK25" s="35"/>
      <c r="AL25" s="38"/>
    </row>
    <row r="26" spans="25:38" x14ac:dyDescent="0.2">
      <c r="Y26" s="35"/>
      <c r="Z26" s="35"/>
      <c r="AA26" s="35"/>
      <c r="AB26" s="35"/>
      <c r="AC26" s="38"/>
      <c r="AD26" s="37"/>
      <c r="AE26" s="35"/>
      <c r="AF26" s="35"/>
      <c r="AG26" s="35"/>
      <c r="AH26" s="35"/>
      <c r="AI26" s="35"/>
      <c r="AJ26" s="35"/>
      <c r="AK26" s="35"/>
      <c r="AL26" s="38"/>
    </row>
    <row r="27" spans="25:38" x14ac:dyDescent="0.2">
      <c r="Y27" s="35"/>
      <c r="Z27" s="35"/>
      <c r="AA27" s="35"/>
      <c r="AB27" s="35"/>
      <c r="AC27" s="38"/>
      <c r="AD27" s="37"/>
      <c r="AE27" s="35"/>
      <c r="AF27" s="35"/>
      <c r="AG27" s="35"/>
      <c r="AH27" s="35"/>
      <c r="AI27" s="35"/>
      <c r="AJ27" s="35"/>
      <c r="AK27" s="35"/>
      <c r="AL27" s="38"/>
    </row>
    <row r="28" spans="25:38" x14ac:dyDescent="0.2">
      <c r="Y28" s="35"/>
      <c r="Z28" s="35"/>
      <c r="AA28" s="35"/>
      <c r="AB28" s="35"/>
      <c r="AC28" s="38"/>
      <c r="AD28" s="37"/>
      <c r="AE28" s="35"/>
      <c r="AF28" s="35"/>
      <c r="AG28" s="35"/>
      <c r="AH28" s="35"/>
      <c r="AI28" s="35"/>
      <c r="AJ28" s="35"/>
      <c r="AK28" s="35"/>
      <c r="AL28" s="38"/>
    </row>
    <row r="29" spans="25:38" x14ac:dyDescent="0.2">
      <c r="Y29" s="35"/>
      <c r="Z29" s="35"/>
      <c r="AA29" s="35"/>
      <c r="AB29" s="35"/>
      <c r="AC29" s="38"/>
      <c r="AD29" s="37"/>
      <c r="AE29" s="35"/>
      <c r="AF29" s="35"/>
      <c r="AG29" s="35"/>
      <c r="AH29" s="35"/>
      <c r="AI29" s="35"/>
      <c r="AJ29" s="35"/>
      <c r="AK29" s="35"/>
      <c r="AL29" s="38"/>
    </row>
    <row r="30" spans="25:38" x14ac:dyDescent="0.2">
      <c r="Y30" s="35"/>
      <c r="Z30" s="35"/>
      <c r="AA30" s="35"/>
      <c r="AB30" s="35"/>
      <c r="AC30" s="38"/>
      <c r="AD30" s="37"/>
      <c r="AE30" s="35"/>
      <c r="AF30" s="35"/>
      <c r="AG30" s="35"/>
      <c r="AH30" s="35"/>
      <c r="AI30" s="35"/>
      <c r="AJ30" s="35"/>
      <c r="AK30" s="35"/>
      <c r="AL30" s="38"/>
    </row>
    <row r="31" spans="25:38" x14ac:dyDescent="0.2">
      <c r="Y31" s="35"/>
      <c r="Z31" s="35"/>
      <c r="AA31" s="35"/>
      <c r="AB31" s="35"/>
      <c r="AC31" s="38"/>
      <c r="AD31" s="37"/>
      <c r="AE31" s="35"/>
      <c r="AF31" s="35"/>
      <c r="AG31" s="35"/>
      <c r="AH31" s="35"/>
      <c r="AI31" s="35"/>
      <c r="AJ31" s="35"/>
      <c r="AK31" s="35"/>
      <c r="AL31" s="38"/>
    </row>
    <row r="32" spans="25:38" x14ac:dyDescent="0.2">
      <c r="Y32" s="35"/>
      <c r="Z32" s="35"/>
      <c r="AA32" s="35"/>
      <c r="AB32" s="35"/>
      <c r="AC32" s="38"/>
      <c r="AD32" s="37"/>
      <c r="AE32" s="35"/>
      <c r="AF32" s="35"/>
      <c r="AG32" s="35"/>
      <c r="AH32" s="35"/>
      <c r="AI32" s="35"/>
      <c r="AJ32" s="35"/>
      <c r="AK32" s="35"/>
      <c r="AL32" s="38"/>
    </row>
    <row r="33" spans="25:38" x14ac:dyDescent="0.2">
      <c r="Y33" s="35"/>
      <c r="Z33" s="35"/>
      <c r="AA33" s="35"/>
      <c r="AB33" s="35"/>
      <c r="AC33" s="38"/>
      <c r="AD33" s="37"/>
      <c r="AE33" s="35"/>
      <c r="AF33" s="35"/>
      <c r="AG33" s="35"/>
      <c r="AH33" s="35"/>
      <c r="AI33" s="35"/>
      <c r="AJ33" s="35"/>
      <c r="AK33" s="35"/>
      <c r="AL33" s="38"/>
    </row>
    <row r="34" spans="25:38" x14ac:dyDescent="0.2">
      <c r="Y34" s="35"/>
      <c r="Z34" s="35"/>
      <c r="AA34" s="35"/>
      <c r="AB34" s="35"/>
      <c r="AC34" s="38"/>
      <c r="AD34" s="37"/>
      <c r="AE34" s="35"/>
      <c r="AF34" s="35"/>
      <c r="AG34" s="35"/>
      <c r="AH34" s="35"/>
      <c r="AI34" s="35"/>
      <c r="AJ34" s="35"/>
      <c r="AK34" s="35"/>
      <c r="AL34" s="38"/>
    </row>
    <row r="35" spans="25:38" x14ac:dyDescent="0.2">
      <c r="Y35" s="35"/>
      <c r="Z35" s="35"/>
      <c r="AA35" s="35"/>
      <c r="AB35" s="35"/>
      <c r="AC35" s="38"/>
      <c r="AD35" s="37"/>
      <c r="AE35" s="35"/>
      <c r="AF35" s="35"/>
      <c r="AG35" s="35"/>
      <c r="AH35" s="35"/>
      <c r="AI35" s="35"/>
      <c r="AJ35" s="35"/>
      <c r="AK35" s="35"/>
      <c r="AL35" s="38"/>
    </row>
    <row r="36" spans="25:38" x14ac:dyDescent="0.2">
      <c r="Y36" s="35"/>
      <c r="Z36" s="35"/>
      <c r="AA36" s="35"/>
      <c r="AB36" s="35"/>
      <c r="AC36" s="38"/>
      <c r="AD36" s="37"/>
      <c r="AE36" s="35"/>
      <c r="AF36" s="35"/>
      <c r="AG36" s="35"/>
      <c r="AH36" s="35"/>
      <c r="AI36" s="35"/>
      <c r="AJ36" s="35"/>
      <c r="AK36" s="35"/>
      <c r="AL36" s="38"/>
    </row>
    <row r="37" spans="25:38" x14ac:dyDescent="0.2">
      <c r="Y37" s="35"/>
      <c r="Z37" s="35"/>
      <c r="AA37" s="35"/>
      <c r="AB37" s="35"/>
      <c r="AC37" s="38"/>
      <c r="AD37" s="37"/>
      <c r="AE37" s="35"/>
      <c r="AF37" s="35"/>
      <c r="AG37" s="35"/>
      <c r="AH37" s="35"/>
      <c r="AI37" s="35"/>
      <c r="AJ37" s="35"/>
      <c r="AK37" s="35"/>
      <c r="AL37" s="38"/>
    </row>
    <row r="38" spans="25:38" x14ac:dyDescent="0.2">
      <c r="Y38" s="35"/>
      <c r="Z38" s="35"/>
      <c r="AA38" s="35"/>
      <c r="AB38" s="35"/>
      <c r="AC38" s="38"/>
      <c r="AD38" s="37"/>
      <c r="AE38" s="35"/>
      <c r="AF38" s="35"/>
      <c r="AG38" s="35"/>
      <c r="AH38" s="35"/>
      <c r="AI38" s="35"/>
      <c r="AJ38" s="35"/>
      <c r="AK38" s="35"/>
      <c r="AL38" s="38"/>
    </row>
    <row r="39" spans="25:38" x14ac:dyDescent="0.2">
      <c r="Y39" s="35"/>
      <c r="Z39" s="35"/>
      <c r="AA39" s="35"/>
      <c r="AB39" s="35"/>
      <c r="AC39" s="38"/>
      <c r="AD39" s="37"/>
      <c r="AE39" s="35"/>
      <c r="AF39" s="35"/>
      <c r="AG39" s="35"/>
      <c r="AH39" s="35"/>
      <c r="AI39" s="35"/>
      <c r="AJ39" s="35"/>
      <c r="AK39" s="35"/>
      <c r="AL39" s="38"/>
    </row>
    <row r="40" spans="25:38" x14ac:dyDescent="0.2">
      <c r="Y40" s="35"/>
      <c r="Z40" s="35"/>
      <c r="AA40" s="35"/>
      <c r="AB40" s="35"/>
      <c r="AC40" s="38"/>
      <c r="AD40" s="37"/>
      <c r="AE40" s="35"/>
      <c r="AF40" s="35"/>
      <c r="AG40" s="35"/>
      <c r="AH40" s="35"/>
      <c r="AI40" s="35"/>
      <c r="AJ40" s="35"/>
      <c r="AK40" s="35"/>
      <c r="AL40" s="38"/>
    </row>
    <row r="41" spans="25:38" x14ac:dyDescent="0.2">
      <c r="Y41" s="35"/>
      <c r="Z41" s="35"/>
      <c r="AA41" s="35"/>
      <c r="AB41" s="35"/>
      <c r="AC41" s="38"/>
      <c r="AD41" s="37"/>
      <c r="AE41" s="35"/>
      <c r="AF41" s="35"/>
      <c r="AG41" s="35"/>
      <c r="AH41" s="35"/>
      <c r="AI41" s="35"/>
      <c r="AJ41" s="35"/>
      <c r="AK41" s="35"/>
      <c r="AL41" s="38"/>
    </row>
    <row r="42" spans="25:38" x14ac:dyDescent="0.2">
      <c r="Y42" s="35"/>
      <c r="Z42" s="35"/>
      <c r="AA42" s="35"/>
      <c r="AB42" s="35"/>
      <c r="AC42" s="38"/>
      <c r="AD42" s="37"/>
      <c r="AE42" s="35"/>
      <c r="AF42" s="35"/>
      <c r="AG42" s="35"/>
      <c r="AH42" s="35"/>
      <c r="AI42" s="35"/>
      <c r="AJ42" s="35"/>
      <c r="AK42" s="35"/>
      <c r="AL42" s="38"/>
    </row>
    <row r="43" spans="25:38" x14ac:dyDescent="0.2">
      <c r="Y43" s="35"/>
      <c r="Z43" s="35"/>
      <c r="AA43" s="35"/>
      <c r="AB43" s="35"/>
      <c r="AC43" s="38"/>
      <c r="AD43" s="37"/>
      <c r="AE43" s="35"/>
      <c r="AF43" s="35"/>
      <c r="AG43" s="35"/>
      <c r="AH43" s="35"/>
      <c r="AI43" s="35"/>
      <c r="AJ43" s="35"/>
      <c r="AK43" s="35"/>
      <c r="AL43" s="38"/>
    </row>
    <row r="44" spans="25:38" x14ac:dyDescent="0.2">
      <c r="Y44" s="35"/>
      <c r="Z44" s="35"/>
      <c r="AA44" s="35"/>
      <c r="AB44" s="35"/>
      <c r="AC44" s="38"/>
      <c r="AD44" s="37"/>
      <c r="AE44" s="35"/>
      <c r="AF44" s="35"/>
      <c r="AG44" s="35"/>
      <c r="AH44" s="35"/>
      <c r="AI44" s="35"/>
      <c r="AJ44" s="35"/>
      <c r="AK44" s="35"/>
      <c r="AL44" s="38"/>
    </row>
    <row r="45" spans="25:38" x14ac:dyDescent="0.2">
      <c r="Y45" s="35"/>
      <c r="Z45" s="35"/>
      <c r="AA45" s="35"/>
      <c r="AB45" s="35"/>
      <c r="AC45" s="38"/>
      <c r="AD45" s="37"/>
      <c r="AE45" s="35"/>
      <c r="AF45" s="35"/>
      <c r="AG45" s="35"/>
      <c r="AH45" s="35"/>
      <c r="AI45" s="35"/>
      <c r="AJ45" s="35"/>
      <c r="AK45" s="35"/>
      <c r="AL45" s="38"/>
    </row>
    <row r="46" spans="25:38" x14ac:dyDescent="0.2">
      <c r="Y46" s="35"/>
      <c r="Z46" s="35"/>
      <c r="AA46" s="35"/>
      <c r="AB46" s="35"/>
      <c r="AC46" s="38"/>
      <c r="AD46" s="37"/>
      <c r="AE46" s="35"/>
      <c r="AF46" s="35"/>
      <c r="AG46" s="35"/>
      <c r="AH46" s="35"/>
      <c r="AI46" s="35"/>
      <c r="AJ46" s="35"/>
      <c r="AK46" s="35"/>
      <c r="AL46" s="38"/>
    </row>
    <row r="47" spans="25:38" x14ac:dyDescent="0.2">
      <c r="Y47" s="35"/>
      <c r="Z47" s="35"/>
      <c r="AA47" s="35"/>
      <c r="AB47" s="35"/>
      <c r="AC47" s="38"/>
      <c r="AD47" s="37"/>
      <c r="AE47" s="35"/>
      <c r="AF47" s="35"/>
      <c r="AG47" s="35"/>
      <c r="AH47" s="35"/>
      <c r="AI47" s="35"/>
      <c r="AJ47" s="35"/>
      <c r="AK47" s="35"/>
      <c r="AL47" s="38"/>
    </row>
    <row r="48" spans="25:38" x14ac:dyDescent="0.2">
      <c r="Y48" s="35"/>
      <c r="Z48" s="35"/>
      <c r="AA48" s="35"/>
      <c r="AB48" s="35"/>
      <c r="AC48" s="38"/>
      <c r="AD48" s="37"/>
      <c r="AE48" s="35"/>
      <c r="AF48" s="35"/>
      <c r="AG48" s="35"/>
      <c r="AH48" s="35"/>
      <c r="AI48" s="35"/>
      <c r="AJ48" s="35"/>
      <c r="AK48" s="35"/>
      <c r="AL48" s="38"/>
    </row>
    <row r="49" spans="25:38" x14ac:dyDescent="0.2">
      <c r="Y49" s="35"/>
      <c r="Z49" s="35"/>
      <c r="AA49" s="35"/>
      <c r="AB49" s="35"/>
      <c r="AC49" s="38"/>
      <c r="AD49" s="37"/>
      <c r="AE49" s="35"/>
      <c r="AF49" s="35"/>
      <c r="AG49" s="35"/>
      <c r="AH49" s="35"/>
      <c r="AI49" s="35"/>
      <c r="AJ49" s="35"/>
      <c r="AK49" s="35"/>
      <c r="AL49" s="38"/>
    </row>
    <row r="50" spans="25:38" x14ac:dyDescent="0.2">
      <c r="Y50" s="35"/>
      <c r="Z50" s="35"/>
      <c r="AA50" s="35"/>
      <c r="AB50" s="35"/>
      <c r="AC50" s="38"/>
      <c r="AD50" s="37"/>
      <c r="AE50" s="35"/>
      <c r="AF50" s="35"/>
      <c r="AG50" s="35"/>
      <c r="AH50" s="35"/>
      <c r="AI50" s="35"/>
      <c r="AJ50" s="35"/>
      <c r="AK50" s="35"/>
      <c r="AL50" s="38"/>
    </row>
    <row r="51" spans="25:38" x14ac:dyDescent="0.2">
      <c r="Y51" s="35"/>
      <c r="Z51" s="35"/>
      <c r="AA51" s="35"/>
      <c r="AB51" s="35"/>
      <c r="AC51" s="38"/>
      <c r="AD51" s="37"/>
      <c r="AE51" s="35"/>
      <c r="AF51" s="35"/>
      <c r="AG51" s="35"/>
      <c r="AH51" s="35"/>
      <c r="AI51" s="35"/>
      <c r="AJ51" s="35"/>
      <c r="AK51" s="35"/>
      <c r="AL51" s="38"/>
    </row>
    <row r="52" spans="25:38" x14ac:dyDescent="0.2">
      <c r="Y52" s="35"/>
      <c r="Z52" s="35"/>
      <c r="AA52" s="35"/>
      <c r="AB52" s="35"/>
      <c r="AC52" s="38"/>
      <c r="AD52" s="37"/>
      <c r="AE52" s="35"/>
      <c r="AF52" s="35"/>
      <c r="AG52" s="35"/>
      <c r="AH52" s="35"/>
      <c r="AI52" s="35"/>
      <c r="AJ52" s="35"/>
      <c r="AK52" s="35"/>
      <c r="AL52" s="38"/>
    </row>
    <row r="53" spans="25:38" x14ac:dyDescent="0.2">
      <c r="Y53" s="35"/>
      <c r="Z53" s="35"/>
      <c r="AA53" s="35"/>
      <c r="AB53" s="35"/>
      <c r="AC53" s="38"/>
      <c r="AD53" s="37"/>
      <c r="AE53" s="35"/>
      <c r="AF53" s="35"/>
      <c r="AG53" s="35"/>
      <c r="AH53" s="35"/>
      <c r="AI53" s="35"/>
      <c r="AJ53" s="35"/>
      <c r="AK53" s="35"/>
      <c r="AL53" s="38"/>
    </row>
    <row r="54" spans="25:38" x14ac:dyDescent="0.2">
      <c r="Y54" s="35"/>
      <c r="Z54" s="35"/>
      <c r="AA54" s="35"/>
      <c r="AB54" s="35"/>
      <c r="AC54" s="38"/>
      <c r="AD54" s="37"/>
      <c r="AE54" s="35"/>
      <c r="AF54" s="35"/>
      <c r="AG54" s="35"/>
      <c r="AH54" s="35"/>
      <c r="AI54" s="35"/>
      <c r="AJ54" s="35"/>
      <c r="AK54" s="35"/>
      <c r="AL54" s="38"/>
    </row>
    <row r="55" spans="25:38" x14ac:dyDescent="0.2">
      <c r="Y55" s="35"/>
      <c r="Z55" s="35"/>
      <c r="AA55" s="35"/>
      <c r="AB55" s="35"/>
      <c r="AC55" s="38"/>
      <c r="AD55" s="37"/>
      <c r="AE55" s="35"/>
      <c r="AF55" s="35"/>
      <c r="AG55" s="35"/>
      <c r="AH55" s="35"/>
      <c r="AI55" s="35"/>
      <c r="AJ55" s="35"/>
      <c r="AK55" s="35"/>
      <c r="AL55" s="38"/>
    </row>
    <row r="56" spans="25:38" x14ac:dyDescent="0.2">
      <c r="Y56" s="35"/>
      <c r="Z56" s="35"/>
      <c r="AA56" s="35"/>
      <c r="AB56" s="35"/>
      <c r="AC56" s="38"/>
      <c r="AD56" s="37"/>
      <c r="AE56" s="35"/>
      <c r="AF56" s="35"/>
      <c r="AG56" s="35"/>
      <c r="AH56" s="35"/>
      <c r="AI56" s="35"/>
      <c r="AJ56" s="35"/>
      <c r="AK56" s="35"/>
      <c r="AL56" s="38"/>
    </row>
    <row r="57" spans="25:38" x14ac:dyDescent="0.2">
      <c r="Y57" s="35"/>
      <c r="Z57" s="35"/>
      <c r="AA57" s="35"/>
      <c r="AB57" s="35"/>
      <c r="AC57" s="38"/>
      <c r="AD57" s="37"/>
      <c r="AE57" s="35"/>
      <c r="AF57" s="35"/>
      <c r="AG57" s="35"/>
      <c r="AH57" s="35"/>
      <c r="AI57" s="35"/>
      <c r="AJ57" s="35"/>
      <c r="AK57" s="35"/>
      <c r="AL57" s="38"/>
    </row>
    <row r="58" spans="25:38" x14ac:dyDescent="0.2">
      <c r="Y58" s="35"/>
      <c r="Z58" s="35"/>
      <c r="AA58" s="35"/>
      <c r="AB58" s="35"/>
      <c r="AC58" s="38"/>
      <c r="AD58" s="37"/>
      <c r="AE58" s="35"/>
      <c r="AF58" s="35"/>
      <c r="AG58" s="35"/>
      <c r="AH58" s="35"/>
      <c r="AI58" s="35"/>
      <c r="AJ58" s="35"/>
      <c r="AK58" s="35"/>
      <c r="AL58" s="38"/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57e1614-89a8-454d-af08-6c65f2bae76f">
      <UserInfo>
        <DisplayName/>
        <AccountId xsi:nil="true"/>
        <AccountType/>
      </UserInfo>
    </SharedWithUsers>
    <lcf76f155ced4ddcb4097134ff3c332f xmlns="26150a2a-9158-45f5-a4a1-12b939dd4280">
      <Terms xmlns="http://schemas.microsoft.com/office/infopath/2007/PartnerControls"/>
    </lcf76f155ced4ddcb4097134ff3c332f>
    <TaxCatchAll xmlns="257e1614-89a8-454d-af08-6c65f2bae7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D1928B0A46204AB93117B31744CFCC" ma:contentTypeVersion="17" ma:contentTypeDescription="Create a new document." ma:contentTypeScope="" ma:versionID="0968f49bf41549527f4d9fc25d4a12db">
  <xsd:schema xmlns:xsd="http://www.w3.org/2001/XMLSchema" xmlns:xs="http://www.w3.org/2001/XMLSchema" xmlns:p="http://schemas.microsoft.com/office/2006/metadata/properties" xmlns:ns2="26150a2a-9158-45f5-a4a1-12b939dd4280" xmlns:ns3="257e1614-89a8-454d-af08-6c65f2bae76f" targetNamespace="http://schemas.microsoft.com/office/2006/metadata/properties" ma:root="true" ma:fieldsID="4bd1baf1a1fb10e3583726dbf3f19f12" ns2:_="" ns3:_="">
    <xsd:import namespace="26150a2a-9158-45f5-a4a1-12b939dd4280"/>
    <xsd:import namespace="257e1614-89a8-454d-af08-6c65f2bae7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50a2a-9158-45f5-a4a1-12b939dd42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1a9775-3525-4bf8-b88d-b7eef9d67d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e1614-89a8-454d-af08-6c65f2bae76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32ec53-6985-4109-abd6-169269333437}" ma:internalName="TaxCatchAll" ma:showField="CatchAllData" ma:web="257e1614-89a8-454d-af08-6c65f2bae7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E624A4-91B6-467B-B967-C4568BD94B6A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257e1614-89a8-454d-af08-6c65f2bae76f"/>
    <ds:schemaRef ds:uri="26150a2a-9158-45f5-a4a1-12b939dd428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9D20764-1E0B-4E5F-A72A-54D0330A47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5354A0-5B78-4801-9E4A-3D284E90A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50a2a-9158-45f5-a4a1-12b939dd4280"/>
    <ds:schemaRef ds:uri="257e1614-89a8-454d-af08-6c65f2bae7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Metadata_Template</vt:lpstr>
    </vt:vector>
  </TitlesOfParts>
  <Company>University of Oregon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Deku Lab</dc:creator>
  <cp:lastModifiedBy>Ifra Ansari</cp:lastModifiedBy>
  <dcterms:created xsi:type="dcterms:W3CDTF">2024-07-17T21:08:55Z</dcterms:created>
  <dcterms:modified xsi:type="dcterms:W3CDTF">2025-11-12T07:09:00Z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0x0101003DD1928B0A46204AB93117B31744CFCC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